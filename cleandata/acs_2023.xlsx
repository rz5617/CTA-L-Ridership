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che\Desktop\CTA_Ridership\"/>
    </mc:Choice>
  </mc:AlternateContent>
  <xr:revisionPtr revIDLastSave="0" documentId="13_ncr:1_{F77D96B8-E784-447D-8BA6-3C3290AC174C}" xr6:coauthVersionLast="47" xr6:coauthVersionMax="47" xr10:uidLastSave="{00000000-0000-0000-0000-000000000000}"/>
  <bookViews>
    <workbookView xWindow="9300" yWindow="0" windowWidth="27180" windowHeight="20070" xr2:uid="{FE1F8706-FA6D-4C92-9C70-C8601DAA21C1}"/>
  </bookViews>
  <sheets>
    <sheet name="Census Dat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</calcChain>
</file>

<file path=xl/sharedStrings.xml><?xml version="1.0" encoding="utf-8"?>
<sst xmlns="http://schemas.openxmlformats.org/spreadsheetml/2006/main" count="185" uniqueCount="185">
  <si>
    <t>ACS Year</t>
  </si>
  <si>
    <t>Community Area</t>
  </si>
  <si>
    <t>Under $25,000</t>
  </si>
  <si>
    <t>$25,000 to $49,999</t>
  </si>
  <si>
    <t>$50,000 to $74,999</t>
  </si>
  <si>
    <t>$75,000 to $125,000</t>
  </si>
  <si>
    <t>$125,000 +</t>
  </si>
  <si>
    <t>Male 0 to 17</t>
  </si>
  <si>
    <t>Male 18 to 24</t>
  </si>
  <si>
    <t>Male 25 to 34</t>
  </si>
  <si>
    <t>Male 35 to 49</t>
  </si>
  <si>
    <t>Male 50 to 64</t>
  </si>
  <si>
    <t>Male 65+</t>
  </si>
  <si>
    <t>Female 0 to 17</t>
  </si>
  <si>
    <t>Female 18 to 24</t>
  </si>
  <si>
    <t>Female 25 to 34</t>
  </si>
  <si>
    <t>Female 35 to 49</t>
  </si>
  <si>
    <t>Female 50 to 64</t>
  </si>
  <si>
    <t>Female 65 +</t>
  </si>
  <si>
    <t>Total Population</t>
  </si>
  <si>
    <t>White</t>
  </si>
  <si>
    <t>Black or African American</t>
  </si>
  <si>
    <t>American Indian or Alaska Native</t>
  </si>
  <si>
    <t>Asian</t>
  </si>
  <si>
    <t>Native Hawaiian or Pacific Islander</t>
  </si>
  <si>
    <t>Other Race</t>
  </si>
  <si>
    <t>Multiracial</t>
  </si>
  <si>
    <t>White Not Hispanic or Latino</t>
  </si>
  <si>
    <t>Hispanic or Latino</t>
  </si>
  <si>
    <t>Record ID</t>
  </si>
  <si>
    <t>ALBANY PARK</t>
  </si>
  <si>
    <t>2023_ALBANY PARK</t>
  </si>
  <si>
    <t>ARCHER HEIGHTS</t>
  </si>
  <si>
    <t>2023_ARCHER HEIGHTS</t>
  </si>
  <si>
    <t>ARMOUR SQUARE</t>
  </si>
  <si>
    <t>2023_ARMOUR SQUARE</t>
  </si>
  <si>
    <t>ASHBURN</t>
  </si>
  <si>
    <t>2023_ASHBURN</t>
  </si>
  <si>
    <t>AUBURN GRESHAM</t>
  </si>
  <si>
    <t>2023_AUBURN GRESHAM</t>
  </si>
  <si>
    <t>AUSTIN</t>
  </si>
  <si>
    <t>2023_AUSTIN</t>
  </si>
  <si>
    <t>AVALON PARK</t>
  </si>
  <si>
    <t>2023_AVALON PARK</t>
  </si>
  <si>
    <t>AVONDALE</t>
  </si>
  <si>
    <t>2023_AVONDALE</t>
  </si>
  <si>
    <t>BELMONT CRAGIN</t>
  </si>
  <si>
    <t>2023_BELMONT CRAGIN</t>
  </si>
  <si>
    <t>BEVERLY</t>
  </si>
  <si>
    <t>2023_BEVERLY</t>
  </si>
  <si>
    <t>BRIDGEPORT</t>
  </si>
  <si>
    <t>2023_BRIDGEPORT</t>
  </si>
  <si>
    <t>BRIGHTON PARK</t>
  </si>
  <si>
    <t>2023_BRIGHTON PARK</t>
  </si>
  <si>
    <t>BURNSIDE</t>
  </si>
  <si>
    <t>2023_BURNSIDE</t>
  </si>
  <si>
    <t>CALUMET HEIGHTS</t>
  </si>
  <si>
    <t>2023_CALUMET HEIGHTS</t>
  </si>
  <si>
    <t>CHATHAM</t>
  </si>
  <si>
    <t>2023_CHATHAM</t>
  </si>
  <si>
    <t>CHICAGO LAWN</t>
  </si>
  <si>
    <t>2023_CHICAGO LAWN</t>
  </si>
  <si>
    <t>CLEARING</t>
  </si>
  <si>
    <t>2023_CLEARING</t>
  </si>
  <si>
    <t>DOUGLAS</t>
  </si>
  <si>
    <t>2023_DOUGLAS</t>
  </si>
  <si>
    <t>DUNNING</t>
  </si>
  <si>
    <t>2023_DUNNING</t>
  </si>
  <si>
    <t>EAST GARFIELD PARK</t>
  </si>
  <si>
    <t>2023_EAST GARFIELD PARK</t>
  </si>
  <si>
    <t>EAST SIDE</t>
  </si>
  <si>
    <t>2023_EAST SIDE</t>
  </si>
  <si>
    <t>EDGEWATER</t>
  </si>
  <si>
    <t>2023_EDGEWATER</t>
  </si>
  <si>
    <t>EDISON PARK</t>
  </si>
  <si>
    <t>2023_EDISON PARK</t>
  </si>
  <si>
    <t>ENGLEWOOD</t>
  </si>
  <si>
    <t>2023_ENGLEWOOD</t>
  </si>
  <si>
    <t>FOREST GLEN</t>
  </si>
  <si>
    <t>2023_FOREST GLEN</t>
  </si>
  <si>
    <t>FULLER PARK</t>
  </si>
  <si>
    <t>2023_FULLER PARK</t>
  </si>
  <si>
    <t>GAGE PARK</t>
  </si>
  <si>
    <t>2023_GAGE PARK</t>
  </si>
  <si>
    <t>GARFIELD RIDGE</t>
  </si>
  <si>
    <t>2023_GARFIELD RIDGE</t>
  </si>
  <si>
    <t>GRAND BOULEVARD</t>
  </si>
  <si>
    <t>2023_GRAND BOULEVARD</t>
  </si>
  <si>
    <t>GREATER GRAND CROSSING</t>
  </si>
  <si>
    <t>2023_GREATER GRAND CROSSING</t>
  </si>
  <si>
    <t>HEGEWISCH</t>
  </si>
  <si>
    <t>2023_HEGEWISCH</t>
  </si>
  <si>
    <t>HERMOSA</t>
  </si>
  <si>
    <t>2023_HERMOSA</t>
  </si>
  <si>
    <t>HUMBOLDT PARK</t>
  </si>
  <si>
    <t>2023_HUMBOLDT PARK</t>
  </si>
  <si>
    <t>HYDE PARK</t>
  </si>
  <si>
    <t>2023_HYDE PARK</t>
  </si>
  <si>
    <t>IRVING PARK</t>
  </si>
  <si>
    <t>2023_IRVING PARK</t>
  </si>
  <si>
    <t>JEFFERSON PARK</t>
  </si>
  <si>
    <t>2023_JEFFERSON PARK</t>
  </si>
  <si>
    <t>KENWOOD</t>
  </si>
  <si>
    <t>2023_KENWOOD</t>
  </si>
  <si>
    <t>LAKE VIEW</t>
  </si>
  <si>
    <t>2023_LAKE VIEW</t>
  </si>
  <si>
    <t>LINCOLN PARK</t>
  </si>
  <si>
    <t>2023_LINCOLN PARK</t>
  </si>
  <si>
    <t>LINCOLN SQUARE</t>
  </si>
  <si>
    <t>2023_LINCOLN SQUARE</t>
  </si>
  <si>
    <t>LOGAN SQUARE</t>
  </si>
  <si>
    <t>2023_LOGAN SQUARE</t>
  </si>
  <si>
    <t>LOOP</t>
  </si>
  <si>
    <t>2023_LOOP</t>
  </si>
  <si>
    <t>LOWER WEST SIDE</t>
  </si>
  <si>
    <t>2023_LOWER WEST SIDE</t>
  </si>
  <si>
    <t>MCKINLEY PARK</t>
  </si>
  <si>
    <t>2023_MCKINLEY PARK</t>
  </si>
  <si>
    <t>MONTCLARE</t>
  </si>
  <si>
    <t>2023_MONTCLARE</t>
  </si>
  <si>
    <t>MORGAN PARK</t>
  </si>
  <si>
    <t>2023_MORGAN PARK</t>
  </si>
  <si>
    <t>MOUNT GREENWOOD</t>
  </si>
  <si>
    <t>2023_MOUNT GREENWOOD</t>
  </si>
  <si>
    <t>NEAR NORTH SIDE</t>
  </si>
  <si>
    <t>2023_NEAR NORTH SIDE</t>
  </si>
  <si>
    <t>NEAR SOUTH SIDE</t>
  </si>
  <si>
    <t>2023_NEAR SOUTH SIDE</t>
  </si>
  <si>
    <t>NEAR WEST SIDE</t>
  </si>
  <si>
    <t>2023_NEAR WEST SIDE</t>
  </si>
  <si>
    <t>NEW CITY</t>
  </si>
  <si>
    <t>2023_NEW CITY</t>
  </si>
  <si>
    <t>NORTH CENTER</t>
  </si>
  <si>
    <t>2023_NORTH CENTER</t>
  </si>
  <si>
    <t>NORTH LAWNDALE</t>
  </si>
  <si>
    <t>2023_NORTH LAWNDALE</t>
  </si>
  <si>
    <t>NORTH PARK</t>
  </si>
  <si>
    <t>2023_NORTH PARK</t>
  </si>
  <si>
    <t>NORWOOD PARK</t>
  </si>
  <si>
    <t>2023_NORWOOD PARK</t>
  </si>
  <si>
    <t>OAKLAND</t>
  </si>
  <si>
    <t>2023_OAKLAND</t>
  </si>
  <si>
    <t>OHARE</t>
  </si>
  <si>
    <t>2023_OHARE</t>
  </si>
  <si>
    <t>PORTAGE PARK</t>
  </si>
  <si>
    <t>2023_PORTAGE PARK</t>
  </si>
  <si>
    <t>PULLMAN</t>
  </si>
  <si>
    <t>2023_PULLMAN</t>
  </si>
  <si>
    <t>RIVERDALE</t>
  </si>
  <si>
    <t>2023_RIVERDALE</t>
  </si>
  <si>
    <t>ROGERS PARK</t>
  </si>
  <si>
    <t>2023_ROGERS PARK</t>
  </si>
  <si>
    <t>ROSELAND</t>
  </si>
  <si>
    <t>2023_ROSELAND</t>
  </si>
  <si>
    <t>SOUTH CHICAGO</t>
  </si>
  <si>
    <t>2023_SOUTH CHICAGO</t>
  </si>
  <si>
    <t>SOUTH DEERING</t>
  </si>
  <si>
    <t>2023_SOUTH DEERING</t>
  </si>
  <si>
    <t>SOUTH LAWNDALE</t>
  </si>
  <si>
    <t>2023_SOUTH LAWNDALE</t>
  </si>
  <si>
    <t>SOUTH SHORE</t>
  </si>
  <si>
    <t>2023_SOUTH SHORE</t>
  </si>
  <si>
    <t>UPTOWN</t>
  </si>
  <si>
    <t>2023_UPTOWN</t>
  </si>
  <si>
    <t>WASHINGTON HEIGHTS</t>
  </si>
  <si>
    <t>2023_WASHINGTON HEIGHTS</t>
  </si>
  <si>
    <t>WASHINGTON PARK</t>
  </si>
  <si>
    <t>2023_WASHINGTON PARK</t>
  </si>
  <si>
    <t>WEST ELSDON</t>
  </si>
  <si>
    <t>2023_WEST ELSDON</t>
  </si>
  <si>
    <t>WEST ENGLEWOOD</t>
  </si>
  <si>
    <t>2023_WEST ENGLEWOOD</t>
  </si>
  <si>
    <t>WEST GARFIELD PARK</t>
  </si>
  <si>
    <t>2023_WEST GARFIELD PARK</t>
  </si>
  <si>
    <t>WEST LAWN</t>
  </si>
  <si>
    <t>2023_WEST LAWN</t>
  </si>
  <si>
    <t>WEST PULLMAN</t>
  </si>
  <si>
    <t>2023_WEST PULLMAN</t>
  </si>
  <si>
    <t>WEST RIDGE</t>
  </si>
  <si>
    <t>2023_WEST RIDGE</t>
  </si>
  <si>
    <t>WEST TOWN</t>
  </si>
  <si>
    <t>2023_WEST TOWN</t>
  </si>
  <si>
    <t>WOODLAWN</t>
  </si>
  <si>
    <t>2023_WOODLAWN</t>
  </si>
  <si>
    <t>community_id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</si>
</sst>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3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che\Desktop\CTA_Ridership\neighborhood_codes_sheet.xlsx" TargetMode="External"/><Relationship Id="rId1" Type="http://schemas.openxmlformats.org/officeDocument/2006/relationships/externalLinkPath" Target="neighborhood_codes_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ighborhood Codes"/>
    </sheetNames>
    <sheetDataSet>
      <sheetData sheetId="0">
        <row r="1">
          <cell r="A1" t="str">
            <v>Community Number</v>
          </cell>
          <cell r="B1" t="str">
            <v>Name</v>
          </cell>
        </row>
        <row r="2">
          <cell r="A2">
            <v>1</v>
          </cell>
          <cell r="B2" t="str">
            <v>Rogers Park</v>
          </cell>
        </row>
        <row r="3">
          <cell r="A3">
            <v>2</v>
          </cell>
          <cell r="B3" t="str">
            <v>West Ridge</v>
          </cell>
        </row>
        <row r="4">
          <cell r="A4">
            <v>3</v>
          </cell>
          <cell r="B4" t="str">
            <v>Uptown</v>
          </cell>
        </row>
        <row r="5">
          <cell r="A5">
            <v>4</v>
          </cell>
          <cell r="B5" t="str">
            <v>Lincoln Square</v>
          </cell>
        </row>
        <row r="6">
          <cell r="A6">
            <v>5</v>
          </cell>
          <cell r="B6" t="str">
            <v>North Center</v>
          </cell>
        </row>
        <row r="7">
          <cell r="A7">
            <v>6</v>
          </cell>
          <cell r="B7" t="str">
            <v>Lake View</v>
          </cell>
        </row>
        <row r="8">
          <cell r="A8">
            <v>7</v>
          </cell>
          <cell r="B8" t="str">
            <v>Lincoln Park</v>
          </cell>
        </row>
        <row r="9">
          <cell r="A9">
            <v>8</v>
          </cell>
          <cell r="B9" t="str">
            <v>Near North Side</v>
          </cell>
        </row>
        <row r="10">
          <cell r="A10">
            <v>9</v>
          </cell>
          <cell r="B10" t="str">
            <v>Edison Park</v>
          </cell>
        </row>
        <row r="11">
          <cell r="A11">
            <v>10</v>
          </cell>
          <cell r="B11" t="str">
            <v>Norwood Park</v>
          </cell>
        </row>
        <row r="12">
          <cell r="A12">
            <v>11</v>
          </cell>
          <cell r="B12" t="str">
            <v>Jefferson Park</v>
          </cell>
        </row>
        <row r="13">
          <cell r="A13">
            <v>12</v>
          </cell>
          <cell r="B13" t="str">
            <v>Forest Glen</v>
          </cell>
        </row>
        <row r="14">
          <cell r="A14">
            <v>13</v>
          </cell>
          <cell r="B14" t="str">
            <v>North Park</v>
          </cell>
        </row>
        <row r="15">
          <cell r="A15">
            <v>14</v>
          </cell>
          <cell r="B15" t="str">
            <v>Albany Park</v>
          </cell>
        </row>
        <row r="16">
          <cell r="A16">
            <v>15</v>
          </cell>
          <cell r="B16" t="str">
            <v>Portage Park</v>
          </cell>
        </row>
        <row r="17">
          <cell r="A17">
            <v>16</v>
          </cell>
          <cell r="B17" t="str">
            <v>Irving Park</v>
          </cell>
        </row>
        <row r="18">
          <cell r="A18">
            <v>17</v>
          </cell>
          <cell r="B18" t="str">
            <v>Dunning</v>
          </cell>
        </row>
        <row r="19">
          <cell r="A19">
            <v>18</v>
          </cell>
          <cell r="B19" t="str">
            <v>Montclare</v>
          </cell>
        </row>
        <row r="20">
          <cell r="A20">
            <v>19</v>
          </cell>
          <cell r="B20" t="str">
            <v>Belmont Cragin</v>
          </cell>
        </row>
        <row r="21">
          <cell r="A21">
            <v>20</v>
          </cell>
          <cell r="B21" t="str">
            <v>Hermosa</v>
          </cell>
        </row>
        <row r="22">
          <cell r="A22">
            <v>21</v>
          </cell>
          <cell r="B22" t="str">
            <v>Avondale</v>
          </cell>
        </row>
        <row r="23">
          <cell r="A23">
            <v>22</v>
          </cell>
          <cell r="B23" t="str">
            <v>Logan Square</v>
          </cell>
        </row>
        <row r="24">
          <cell r="A24">
            <v>23</v>
          </cell>
          <cell r="B24" t="str">
            <v>Humboldt Park</v>
          </cell>
        </row>
        <row r="25">
          <cell r="A25">
            <v>24</v>
          </cell>
          <cell r="B25" t="str">
            <v>West Town</v>
          </cell>
        </row>
        <row r="26">
          <cell r="A26">
            <v>25</v>
          </cell>
          <cell r="B26" t="str">
            <v>Austin</v>
          </cell>
        </row>
        <row r="27">
          <cell r="A27">
            <v>26</v>
          </cell>
          <cell r="B27" t="str">
            <v>West Garfield Park</v>
          </cell>
        </row>
        <row r="28">
          <cell r="A28">
            <v>27</v>
          </cell>
          <cell r="B28" t="str">
            <v>East Garfield Park</v>
          </cell>
        </row>
        <row r="29">
          <cell r="A29">
            <v>28</v>
          </cell>
          <cell r="B29" t="str">
            <v>Near West Side</v>
          </cell>
        </row>
        <row r="30">
          <cell r="A30">
            <v>29</v>
          </cell>
          <cell r="B30" t="str">
            <v>North Lawndale</v>
          </cell>
        </row>
        <row r="31">
          <cell r="A31">
            <v>30</v>
          </cell>
          <cell r="B31" t="str">
            <v>South Lawndale</v>
          </cell>
        </row>
        <row r="32">
          <cell r="A32">
            <v>31</v>
          </cell>
          <cell r="B32" t="str">
            <v>Lower West Side</v>
          </cell>
        </row>
        <row r="33">
          <cell r="A33">
            <v>32</v>
          </cell>
          <cell r="B33" t="str">
            <v>Loop</v>
          </cell>
        </row>
        <row r="34">
          <cell r="A34">
            <v>33</v>
          </cell>
          <cell r="B34" t="str">
            <v>Near South Side</v>
          </cell>
        </row>
        <row r="35">
          <cell r="A35">
            <v>34</v>
          </cell>
          <cell r="B35" t="str">
            <v>Armour Square</v>
          </cell>
        </row>
        <row r="36">
          <cell r="A36">
            <v>35</v>
          </cell>
          <cell r="B36" t="str">
            <v>Douglas</v>
          </cell>
        </row>
        <row r="37">
          <cell r="A37">
            <v>36</v>
          </cell>
          <cell r="B37" t="str">
            <v>Oakland</v>
          </cell>
        </row>
        <row r="38">
          <cell r="A38">
            <v>37</v>
          </cell>
          <cell r="B38" t="str">
            <v>Fuller Park</v>
          </cell>
        </row>
        <row r="39">
          <cell r="A39">
            <v>38</v>
          </cell>
          <cell r="B39" t="str">
            <v>Grand Boulevard</v>
          </cell>
        </row>
        <row r="40">
          <cell r="A40">
            <v>39</v>
          </cell>
          <cell r="B40" t="str">
            <v>Kenwood</v>
          </cell>
        </row>
        <row r="41">
          <cell r="A41">
            <v>40</v>
          </cell>
          <cell r="B41" t="str">
            <v>Washington Park</v>
          </cell>
        </row>
        <row r="42">
          <cell r="A42">
            <v>41</v>
          </cell>
          <cell r="B42" t="str">
            <v>Hyde Park</v>
          </cell>
        </row>
        <row r="43">
          <cell r="A43">
            <v>42</v>
          </cell>
          <cell r="B43" t="str">
            <v>Woodlawn</v>
          </cell>
        </row>
        <row r="44">
          <cell r="A44">
            <v>43</v>
          </cell>
          <cell r="B44" t="str">
            <v>South Shore</v>
          </cell>
        </row>
        <row r="45">
          <cell r="A45">
            <v>44</v>
          </cell>
          <cell r="B45" t="str">
            <v>Chatham</v>
          </cell>
        </row>
        <row r="46">
          <cell r="A46">
            <v>45</v>
          </cell>
          <cell r="B46" t="str">
            <v>Avalon Park</v>
          </cell>
        </row>
        <row r="47">
          <cell r="A47">
            <v>46</v>
          </cell>
          <cell r="B47" t="str">
            <v>South Chicago</v>
          </cell>
        </row>
        <row r="48">
          <cell r="A48">
            <v>47</v>
          </cell>
          <cell r="B48" t="str">
            <v>Burnside</v>
          </cell>
        </row>
        <row r="49">
          <cell r="A49">
            <v>48</v>
          </cell>
          <cell r="B49" t="str">
            <v>Calumet Heights</v>
          </cell>
        </row>
        <row r="50">
          <cell r="A50">
            <v>49</v>
          </cell>
          <cell r="B50" t="str">
            <v>Roseland</v>
          </cell>
        </row>
        <row r="51">
          <cell r="A51">
            <v>50</v>
          </cell>
          <cell r="B51" t="str">
            <v>Pullman</v>
          </cell>
        </row>
        <row r="52">
          <cell r="A52">
            <v>51</v>
          </cell>
          <cell r="B52" t="str">
            <v>South Deering</v>
          </cell>
        </row>
        <row r="53">
          <cell r="A53">
            <v>52</v>
          </cell>
          <cell r="B53" t="str">
            <v>East Side</v>
          </cell>
        </row>
        <row r="54">
          <cell r="A54">
            <v>53</v>
          </cell>
          <cell r="B54" t="str">
            <v>West Pullman</v>
          </cell>
        </row>
        <row r="55">
          <cell r="A55">
            <v>54</v>
          </cell>
          <cell r="B55" t="str">
            <v>Riverdale</v>
          </cell>
        </row>
        <row r="56">
          <cell r="A56">
            <v>55</v>
          </cell>
          <cell r="B56" t="str">
            <v>Hegewisch</v>
          </cell>
        </row>
        <row r="57">
          <cell r="A57">
            <v>56</v>
          </cell>
          <cell r="B57" t="str">
            <v>Garfield Ridge</v>
          </cell>
        </row>
        <row r="58">
          <cell r="A58">
            <v>57</v>
          </cell>
          <cell r="B58" t="str">
            <v>Archer Heights</v>
          </cell>
        </row>
        <row r="59">
          <cell r="A59">
            <v>58</v>
          </cell>
          <cell r="B59" t="str">
            <v>Brighton Park</v>
          </cell>
        </row>
        <row r="60">
          <cell r="A60">
            <v>59</v>
          </cell>
          <cell r="B60" t="str">
            <v>McKinley Park</v>
          </cell>
        </row>
        <row r="61">
          <cell r="A61">
            <v>60</v>
          </cell>
          <cell r="B61" t="str">
            <v>Bridgeport</v>
          </cell>
        </row>
        <row r="62">
          <cell r="A62">
            <v>61</v>
          </cell>
          <cell r="B62" t="str">
            <v>New City</v>
          </cell>
        </row>
        <row r="63">
          <cell r="A63">
            <v>62</v>
          </cell>
          <cell r="B63" t="str">
            <v>West Elsdon</v>
          </cell>
        </row>
        <row r="64">
          <cell r="A64">
            <v>63</v>
          </cell>
          <cell r="B64" t="str">
            <v>Gage Park</v>
          </cell>
        </row>
        <row r="65">
          <cell r="A65">
            <v>64</v>
          </cell>
          <cell r="B65" t="str">
            <v>Clearing</v>
          </cell>
        </row>
        <row r="66">
          <cell r="A66">
            <v>65</v>
          </cell>
          <cell r="B66" t="str">
            <v>West Lawn</v>
          </cell>
        </row>
        <row r="67">
          <cell r="A67">
            <v>66</v>
          </cell>
          <cell r="B67" t="str">
            <v>Chicago Lawn</v>
          </cell>
        </row>
        <row r="68">
          <cell r="A68">
            <v>67</v>
          </cell>
          <cell r="B68" t="str">
            <v>West Englewood</v>
          </cell>
        </row>
        <row r="69">
          <cell r="A69">
            <v>68</v>
          </cell>
          <cell r="B69" t="str">
            <v>Englewood</v>
          </cell>
        </row>
        <row r="70">
          <cell r="A70">
            <v>69</v>
          </cell>
          <cell r="B70" t="str">
            <v>Greater Grand Crossing</v>
          </cell>
        </row>
        <row r="71">
          <cell r="A71">
            <v>70</v>
          </cell>
          <cell r="B71" t="str">
            <v>Ashburn</v>
          </cell>
        </row>
        <row r="72">
          <cell r="A72">
            <v>71</v>
          </cell>
          <cell r="B72" t="str">
            <v>Auburn Gresham</v>
          </cell>
        </row>
        <row r="73">
          <cell r="A73">
            <v>72</v>
          </cell>
          <cell r="B73" t="str">
            <v>Beverly</v>
          </cell>
        </row>
        <row r="74">
          <cell r="A74">
            <v>73</v>
          </cell>
          <cell r="B74" t="str">
            <v>Washington Heights</v>
          </cell>
        </row>
        <row r="75">
          <cell r="A75">
            <v>74</v>
          </cell>
          <cell r="B75" t="str">
            <v>Mount Greenwood</v>
          </cell>
        </row>
        <row r="76">
          <cell r="A76">
            <v>75</v>
          </cell>
          <cell r="B76" t="str">
            <v>Morgan Park</v>
          </cell>
        </row>
        <row r="77">
          <cell r="A77">
            <v>76</v>
          </cell>
          <cell r="B77" t="str">
            <v>O'Hare</v>
          </cell>
        </row>
        <row r="78">
          <cell r="A78">
            <v>77</v>
          </cell>
          <cell r="B78" t="str">
            <v>Edgewater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359343-7437-47E5-A50F-7405D740E954}" name="census_data" displayName="census_data" ref="A1:AE78" totalsRowShown="0">
  <autoFilter ref="A1:AE78" xr:uid="{D878DFB4-66BB-4B3A-8702-A59CFFB8CD6F}"/>
  <tableColumns count="31">
    <tableColumn id="1" xr3:uid="{DC58AF9B-06B1-4309-8D8C-F58AF685E366}" name="ACS Year"/>
    <tableColumn id="31" xr3:uid="{5D3347D6-E3BD-4084-B60E-38DBE8414BBC}" name="community_id" dataDxfId="0">
      <calculatedColumnFormula>_xlfn.XLOOKUP(census_data[[#This Row],[Community Area]],'[1]Neighborhood Codes'!$B:$B,'[1]Neighborhood Codes'!$A:$A,"N/a")</calculatedColumnFormula>
    </tableColumn>
    <tableColumn id="2" xr3:uid="{0A0FAB1D-939C-4DBF-A70A-BB8C2F43BBB5}" name="Community Area"/>
    <tableColumn id="3" xr3:uid="{E0C695F6-125E-4222-BD77-CF8F06A257D7}" name="Under $25,000" dataDxfId="24"/>
    <tableColumn id="4" xr3:uid="{78675768-F11C-4770-A0A9-9DB087BD8E09}" name="$25,000 to $49,999" dataDxfId="23"/>
    <tableColumn id="5" xr3:uid="{BD79E423-2100-48F7-8717-7BDF303B476D}" name="$50,000 to $74,999" dataDxfId="22"/>
    <tableColumn id="6" xr3:uid="{BE22FE2E-B935-4547-8184-356830A4BADB}" name="$75,000 to $125,000" dataDxfId="21"/>
    <tableColumn id="7" xr3:uid="{8827DA75-AFA0-4A29-A244-E90FFA4EDA2B}" name="$125,000 +" dataDxfId="20"/>
    <tableColumn id="8" xr3:uid="{AF68988E-617E-47D0-9DC9-549AA508464D}" name="Male 0 to 17" dataDxfId="19"/>
    <tableColumn id="9" xr3:uid="{A33BDB7C-4211-436F-9B1D-C75EE62E9D84}" name="Male 18 to 24" dataDxfId="18"/>
    <tableColumn id="10" xr3:uid="{C1C08E39-531E-4A82-8F75-A6F1DE3BC133}" name="Male 25 to 34" dataDxfId="17"/>
    <tableColumn id="11" xr3:uid="{00C8886E-341C-4E5D-8ECE-FEAB336B9D7F}" name="Male 35 to 49" dataDxfId="16"/>
    <tableColumn id="12" xr3:uid="{9FB8ECA5-2405-4BCD-84FA-E01898D631F0}" name="Male 50 to 64" dataDxfId="15"/>
    <tableColumn id="13" xr3:uid="{B102EDAD-1672-4D98-B41B-E1C4B4FDF939}" name="Male 65+" dataDxfId="14"/>
    <tableColumn id="14" xr3:uid="{E838C05C-707E-401D-8F46-4065A0A1753A}" name="Female 0 to 17" dataDxfId="13"/>
    <tableColumn id="15" xr3:uid="{72EB3E56-B56F-4781-AD5F-42885718E385}" name="Female 18 to 24" dataDxfId="12"/>
    <tableColumn id="16" xr3:uid="{BBEE58A0-4014-4325-8C15-E3FA6872DA95}" name="Female 25 to 34" dataDxfId="11"/>
    <tableColumn id="17" xr3:uid="{61A00DED-D44B-434A-98B6-69C77D6F7555}" name="Female 35 to 49" dataDxfId="10"/>
    <tableColumn id="18" xr3:uid="{358B9998-35C4-45FE-A1B1-E46A176ADFD8}" name="Female 50 to 64" dataDxfId="9"/>
    <tableColumn id="19" xr3:uid="{FBEE4E1D-5D02-43FE-835E-154C604560F0}" name="Female 65 +" dataDxfId="8"/>
    <tableColumn id="20" xr3:uid="{F67F6A55-90B7-4A7B-B638-8D0C3133855B}" name="Total Population" dataDxfId="7"/>
    <tableColumn id="21" xr3:uid="{D1743412-484D-41D7-821C-73DA79980505}" name="White" dataDxfId="6"/>
    <tableColumn id="22" xr3:uid="{58C8882E-7B9B-4237-A0E2-C6958AD01D5C}" name="Black or African American" dataDxfId="5"/>
    <tableColumn id="23" xr3:uid="{5D3EF785-83FA-43F1-BD33-FDF53860B8CB}" name="American Indian or Alaska Native"/>
    <tableColumn id="24" xr3:uid="{99E711A6-E365-42D5-BBEF-809EF0EB1DE7}" name="Asian"/>
    <tableColumn id="25" xr3:uid="{4457060D-2F35-44C2-8325-981281E740D9}" name="Native Hawaiian or Pacific Islander"/>
    <tableColumn id="26" xr3:uid="{C4703773-7990-4AED-AB5F-437A79D9230E}" name="Other Race" dataDxfId="4"/>
    <tableColumn id="27" xr3:uid="{BA106329-2A3D-4437-97E0-17E517A8C69E}" name="Multiracial" dataDxfId="3"/>
    <tableColumn id="28" xr3:uid="{1246F233-22D8-4273-9E5E-935E54BE6E29}" name="White Not Hispanic or Latino" dataDxfId="2"/>
    <tableColumn id="29" xr3:uid="{576DDDB0-5F9C-4A01-B7C0-C257C221890D}" name="Hispanic or Latino" dataDxfId="1"/>
    <tableColumn id="30" xr3:uid="{EAC1A83B-F974-40C1-8F31-4DA83B28D8AF}" name="Record 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05AFC-A788-499E-BEB9-71AF168B7409}">
  <dimension ref="A1:AE78"/>
  <sheetViews>
    <sheetView tabSelected="1" workbookViewId="0">
      <selection activeCell="B3" sqref="B3"/>
    </sheetView>
  </sheetViews>
  <sheetFormatPr defaultRowHeight="15" x14ac:dyDescent="0.25"/>
  <cols>
    <col min="1" max="1" width="11.28515625" customWidth="1"/>
    <col min="2" max="2" width="15.5703125" customWidth="1"/>
    <col min="3" max="3" width="18.140625" customWidth="1"/>
    <col min="4" max="4" width="15.5703125" customWidth="1"/>
    <col min="5" max="6" width="19" customWidth="1"/>
    <col min="7" max="7" width="20" customWidth="1"/>
    <col min="8" max="8" width="12.140625" customWidth="1"/>
    <col min="9" max="9" width="13.5703125" customWidth="1"/>
    <col min="10" max="13" width="14.5703125" customWidth="1"/>
    <col min="14" max="14" width="10.85546875" customWidth="1"/>
    <col min="15" max="15" width="15.85546875" customWidth="1"/>
    <col min="16" max="19" width="16.85546875" customWidth="1"/>
    <col min="20" max="20" width="13.5703125" customWidth="1"/>
    <col min="21" max="21" width="17.7109375" customWidth="1"/>
    <col min="23" max="23" width="25.7109375" customWidth="1"/>
    <col min="24" max="24" width="32.28515625" customWidth="1"/>
    <col min="26" max="26" width="34" customWidth="1"/>
    <col min="27" max="27" width="13.140625" customWidth="1"/>
    <col min="28" max="28" width="12.5703125" customWidth="1"/>
    <col min="29" max="29" width="28.85546875" customWidth="1"/>
    <col min="30" max="30" width="19.28515625" customWidth="1"/>
    <col min="31" max="31" width="12" customWidth="1"/>
  </cols>
  <sheetData>
    <row r="1" spans="1:31" x14ac:dyDescent="0.25">
      <c r="A1" t="s">
        <v>0</v>
      </c>
      <c r="B1" t="s">
        <v>184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s="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25">
      <c r="A2">
        <v>2023</v>
      </c>
      <c r="B2">
        <f>_xlfn.XLOOKUP(census_data[[#This Row],[Community Area]],'[1]Neighborhood Codes'!$B:$B,'[1]Neighborhood Codes'!$A:$A,"N/a")</f>
        <v>14</v>
      </c>
      <c r="C2" t="s">
        <v>30</v>
      </c>
      <c r="D2" s="2">
        <v>1269</v>
      </c>
      <c r="E2" s="2">
        <v>1916</v>
      </c>
      <c r="F2" s="2">
        <v>1801</v>
      </c>
      <c r="G2" s="2">
        <v>2306</v>
      </c>
      <c r="H2" s="2">
        <v>3379</v>
      </c>
      <c r="I2" s="2">
        <v>4799</v>
      </c>
      <c r="J2" s="2">
        <v>2955</v>
      </c>
      <c r="K2" s="2">
        <v>4513</v>
      </c>
      <c r="L2" s="2">
        <v>5442</v>
      </c>
      <c r="M2" s="2">
        <v>4354</v>
      </c>
      <c r="N2" s="2">
        <v>2287</v>
      </c>
      <c r="O2" s="2">
        <v>4913</v>
      </c>
      <c r="P2" s="2">
        <v>2405</v>
      </c>
      <c r="Q2" s="2">
        <v>4116</v>
      </c>
      <c r="R2" s="2">
        <v>5228</v>
      </c>
      <c r="S2" s="2">
        <v>3764</v>
      </c>
      <c r="T2" s="2">
        <v>3054</v>
      </c>
      <c r="U2" s="2">
        <v>47830</v>
      </c>
      <c r="V2" s="2">
        <v>21496</v>
      </c>
      <c r="W2" s="2">
        <v>2228</v>
      </c>
      <c r="X2">
        <v>759</v>
      </c>
      <c r="Y2" s="2">
        <v>7124</v>
      </c>
      <c r="Z2">
        <v>1</v>
      </c>
      <c r="AA2" s="2">
        <v>7888</v>
      </c>
      <c r="AB2" s="2">
        <v>8334</v>
      </c>
      <c r="AC2" s="2">
        <v>16115</v>
      </c>
      <c r="AD2" s="2">
        <v>21108</v>
      </c>
      <c r="AE2" t="s">
        <v>31</v>
      </c>
    </row>
    <row r="3" spans="1:31" x14ac:dyDescent="0.25">
      <c r="A3">
        <v>2023</v>
      </c>
      <c r="B3">
        <f>_xlfn.XLOOKUP(census_data[[#This Row],[Community Area]],'[1]Neighborhood Codes'!$B:$B,'[1]Neighborhood Codes'!$A:$A,"N/a")</f>
        <v>57</v>
      </c>
      <c r="C3" t="s">
        <v>32</v>
      </c>
      <c r="D3">
        <v>223</v>
      </c>
      <c r="E3">
        <v>752</v>
      </c>
      <c r="F3">
        <v>441</v>
      </c>
      <c r="G3">
        <v>795</v>
      </c>
      <c r="H3">
        <v>739</v>
      </c>
      <c r="I3" s="2">
        <v>1927</v>
      </c>
      <c r="J3">
        <v>732</v>
      </c>
      <c r="K3" s="2">
        <v>1102</v>
      </c>
      <c r="L3" s="2">
        <v>1240</v>
      </c>
      <c r="M3" s="2">
        <v>1417</v>
      </c>
      <c r="N3" s="2">
        <v>1035</v>
      </c>
      <c r="O3" s="2">
        <v>1502</v>
      </c>
      <c r="P3">
        <v>899</v>
      </c>
      <c r="Q3">
        <v>978</v>
      </c>
      <c r="R3" s="2">
        <v>1167</v>
      </c>
      <c r="S3">
        <v>854</v>
      </c>
      <c r="T3" s="2">
        <v>1021</v>
      </c>
      <c r="U3" s="2">
        <v>13875</v>
      </c>
      <c r="V3" s="2">
        <v>6232</v>
      </c>
      <c r="W3">
        <v>10</v>
      </c>
      <c r="X3">
        <v>108</v>
      </c>
      <c r="Y3">
        <v>679</v>
      </c>
      <c r="Z3">
        <v>0</v>
      </c>
      <c r="AA3" s="2">
        <v>3705</v>
      </c>
      <c r="AB3" s="2">
        <v>3142</v>
      </c>
      <c r="AC3" s="2">
        <v>2043</v>
      </c>
      <c r="AD3" s="2">
        <v>11097</v>
      </c>
      <c r="AE3" t="s">
        <v>33</v>
      </c>
    </row>
    <row r="4" spans="1:31" x14ac:dyDescent="0.25">
      <c r="A4">
        <v>2023</v>
      </c>
      <c r="B4">
        <f>_xlfn.XLOOKUP(census_data[[#This Row],[Community Area]],'[1]Neighborhood Codes'!$B:$B,'[1]Neighborhood Codes'!$A:$A,"N/a")</f>
        <v>34</v>
      </c>
      <c r="C4" t="s">
        <v>34</v>
      </c>
      <c r="D4">
        <v>701</v>
      </c>
      <c r="E4">
        <v>798</v>
      </c>
      <c r="F4">
        <v>370</v>
      </c>
      <c r="G4">
        <v>637</v>
      </c>
      <c r="H4">
        <v>597</v>
      </c>
      <c r="I4" s="2">
        <v>1300</v>
      </c>
      <c r="J4">
        <v>487</v>
      </c>
      <c r="K4">
        <v>871</v>
      </c>
      <c r="L4" s="2">
        <v>1174</v>
      </c>
      <c r="M4" s="2">
        <v>1177</v>
      </c>
      <c r="N4" s="2">
        <v>1032</v>
      </c>
      <c r="O4" s="2">
        <v>1022</v>
      </c>
      <c r="P4">
        <v>517</v>
      </c>
      <c r="Q4">
        <v>965</v>
      </c>
      <c r="R4" s="2">
        <v>1163</v>
      </c>
      <c r="S4" s="2">
        <v>1378</v>
      </c>
      <c r="T4" s="2">
        <v>2063</v>
      </c>
      <c r="U4" s="2">
        <v>13149</v>
      </c>
      <c r="V4" s="2">
        <v>2556</v>
      </c>
      <c r="W4" s="2">
        <v>1487</v>
      </c>
      <c r="X4">
        <v>107</v>
      </c>
      <c r="Y4" s="2">
        <v>8402</v>
      </c>
      <c r="Z4">
        <v>61</v>
      </c>
      <c r="AA4">
        <v>212</v>
      </c>
      <c r="AB4">
        <v>325</v>
      </c>
      <c r="AC4" s="2">
        <v>2226</v>
      </c>
      <c r="AD4">
        <v>565</v>
      </c>
      <c r="AE4" t="s">
        <v>35</v>
      </c>
    </row>
    <row r="5" spans="1:31" x14ac:dyDescent="0.25">
      <c r="A5">
        <v>2023</v>
      </c>
      <c r="B5">
        <f>_xlfn.XLOOKUP(census_data[[#This Row],[Community Area]],'[1]Neighborhood Codes'!$B:$B,'[1]Neighborhood Codes'!$A:$A,"N/a")</f>
        <v>70</v>
      </c>
      <c r="C5" t="s">
        <v>36</v>
      </c>
      <c r="D5">
        <v>797</v>
      </c>
      <c r="E5" s="2">
        <v>1351</v>
      </c>
      <c r="F5" s="2">
        <v>1985</v>
      </c>
      <c r="G5" s="2">
        <v>3014</v>
      </c>
      <c r="H5" s="2">
        <v>2735</v>
      </c>
      <c r="I5" s="2">
        <v>5150</v>
      </c>
      <c r="J5" s="2">
        <v>1964</v>
      </c>
      <c r="K5" s="2">
        <v>2881</v>
      </c>
      <c r="L5" s="2">
        <v>4178</v>
      </c>
      <c r="M5" s="2">
        <v>4228</v>
      </c>
      <c r="N5" s="2">
        <v>2473</v>
      </c>
      <c r="O5" s="2">
        <v>5138</v>
      </c>
      <c r="P5" s="2">
        <v>2248</v>
      </c>
      <c r="Q5" s="2">
        <v>2774</v>
      </c>
      <c r="R5" s="2">
        <v>4582</v>
      </c>
      <c r="S5" s="2">
        <v>4044</v>
      </c>
      <c r="T5" s="2">
        <v>3184</v>
      </c>
      <c r="U5" s="2">
        <v>42842</v>
      </c>
      <c r="V5" s="2">
        <v>11297</v>
      </c>
      <c r="W5" s="2">
        <v>18124</v>
      </c>
      <c r="X5">
        <v>697</v>
      </c>
      <c r="Y5">
        <v>436</v>
      </c>
      <c r="Z5">
        <v>0</v>
      </c>
      <c r="AA5" s="2">
        <v>7772</v>
      </c>
      <c r="AB5" s="2">
        <v>4517</v>
      </c>
      <c r="AC5" s="2">
        <v>3774</v>
      </c>
      <c r="AD5" s="2">
        <v>19917</v>
      </c>
      <c r="AE5" t="s">
        <v>37</v>
      </c>
    </row>
    <row r="6" spans="1:31" x14ac:dyDescent="0.25">
      <c r="A6">
        <v>2023</v>
      </c>
      <c r="B6">
        <f>_xlfn.XLOOKUP(census_data[[#This Row],[Community Area]],'[1]Neighborhood Codes'!$B:$B,'[1]Neighborhood Codes'!$A:$A,"N/a")</f>
        <v>71</v>
      </c>
      <c r="C6" t="s">
        <v>38</v>
      </c>
      <c r="D6" s="2">
        <v>2541</v>
      </c>
      <c r="E6" s="2">
        <v>2451</v>
      </c>
      <c r="F6" s="2">
        <v>1592</v>
      </c>
      <c r="G6" s="2">
        <v>2202</v>
      </c>
      <c r="H6" s="2">
        <v>1850</v>
      </c>
      <c r="I6" s="2">
        <v>5803</v>
      </c>
      <c r="J6" s="2">
        <v>1836</v>
      </c>
      <c r="K6" s="2">
        <v>2964</v>
      </c>
      <c r="L6" s="2">
        <v>3431</v>
      </c>
      <c r="M6" s="2">
        <v>3469</v>
      </c>
      <c r="N6" s="2">
        <v>3223</v>
      </c>
      <c r="O6" s="2">
        <v>5305</v>
      </c>
      <c r="P6" s="2">
        <v>2304</v>
      </c>
      <c r="Q6" s="2">
        <v>3057</v>
      </c>
      <c r="R6" s="2">
        <v>4522</v>
      </c>
      <c r="S6" s="2">
        <v>5213</v>
      </c>
      <c r="T6" s="2">
        <v>5357</v>
      </c>
      <c r="U6" s="2">
        <v>46483</v>
      </c>
      <c r="V6">
        <v>760</v>
      </c>
      <c r="W6" s="2">
        <v>43414</v>
      </c>
      <c r="X6">
        <v>119</v>
      </c>
      <c r="Y6">
        <v>399</v>
      </c>
      <c r="Z6">
        <v>0</v>
      </c>
      <c r="AA6">
        <v>993</v>
      </c>
      <c r="AB6">
        <v>798</v>
      </c>
      <c r="AC6">
        <v>491</v>
      </c>
      <c r="AD6" s="2">
        <v>1577</v>
      </c>
      <c r="AE6" t="s">
        <v>39</v>
      </c>
    </row>
    <row r="7" spans="1:31" x14ac:dyDescent="0.25">
      <c r="A7">
        <v>2023</v>
      </c>
      <c r="B7">
        <f>_xlfn.XLOOKUP(census_data[[#This Row],[Community Area]],'[1]Neighborhood Codes'!$B:$B,'[1]Neighborhood Codes'!$A:$A,"N/a")</f>
        <v>25</v>
      </c>
      <c r="C7" t="s">
        <v>40</v>
      </c>
      <c r="D7" s="2">
        <v>5506</v>
      </c>
      <c r="E7" s="2">
        <v>5084</v>
      </c>
      <c r="F7" s="2">
        <v>3600</v>
      </c>
      <c r="G7" s="2">
        <v>4047</v>
      </c>
      <c r="H7" s="2">
        <v>3725</v>
      </c>
      <c r="I7" s="2">
        <v>12399</v>
      </c>
      <c r="J7" s="2">
        <v>4668</v>
      </c>
      <c r="K7" s="2">
        <v>6681</v>
      </c>
      <c r="L7" s="2">
        <v>9920</v>
      </c>
      <c r="M7" s="2">
        <v>8110</v>
      </c>
      <c r="N7" s="2">
        <v>6175</v>
      </c>
      <c r="O7" s="2">
        <v>12163</v>
      </c>
      <c r="P7" s="2">
        <v>4575</v>
      </c>
      <c r="Q7" s="2">
        <v>6643</v>
      </c>
      <c r="R7" s="2">
        <v>10092</v>
      </c>
      <c r="S7" s="2">
        <v>10040</v>
      </c>
      <c r="T7" s="2">
        <v>8811</v>
      </c>
      <c r="U7" s="2">
        <v>100278</v>
      </c>
      <c r="V7" s="2">
        <v>10447</v>
      </c>
      <c r="W7" s="2">
        <v>73602</v>
      </c>
      <c r="X7">
        <v>531</v>
      </c>
      <c r="Y7">
        <v>678</v>
      </c>
      <c r="Z7">
        <v>21</v>
      </c>
      <c r="AA7" s="2">
        <v>8512</v>
      </c>
      <c r="AB7" s="2">
        <v>6487</v>
      </c>
      <c r="AC7" s="2">
        <v>5386</v>
      </c>
      <c r="AD7" s="2">
        <v>19591</v>
      </c>
      <c r="AE7" t="s">
        <v>41</v>
      </c>
    </row>
    <row r="8" spans="1:31" x14ac:dyDescent="0.25">
      <c r="A8">
        <v>2023</v>
      </c>
      <c r="B8">
        <f>_xlfn.XLOOKUP(census_data[[#This Row],[Community Area]],'[1]Neighborhood Codes'!$B:$B,'[1]Neighborhood Codes'!$A:$A,"N/a")</f>
        <v>45</v>
      </c>
      <c r="C8" t="s">
        <v>42</v>
      </c>
      <c r="D8">
        <v>420</v>
      </c>
      <c r="E8">
        <v>489</v>
      </c>
      <c r="F8">
        <v>356</v>
      </c>
      <c r="G8">
        <v>518</v>
      </c>
      <c r="H8">
        <v>630</v>
      </c>
      <c r="I8" s="2">
        <v>1216</v>
      </c>
      <c r="J8">
        <v>256</v>
      </c>
      <c r="K8">
        <v>362</v>
      </c>
      <c r="L8">
        <v>781</v>
      </c>
      <c r="M8">
        <v>747</v>
      </c>
      <c r="N8">
        <v>664</v>
      </c>
      <c r="O8">
        <v>714</v>
      </c>
      <c r="P8">
        <v>450</v>
      </c>
      <c r="Q8">
        <v>509</v>
      </c>
      <c r="R8" s="2">
        <v>1087</v>
      </c>
      <c r="S8">
        <v>965</v>
      </c>
      <c r="T8" s="2">
        <v>1741</v>
      </c>
      <c r="U8" s="2">
        <v>9492</v>
      </c>
      <c r="V8">
        <v>27</v>
      </c>
      <c r="W8" s="2">
        <v>8924</v>
      </c>
      <c r="X8">
        <v>0</v>
      </c>
      <c r="Y8">
        <v>65</v>
      </c>
      <c r="Z8">
        <v>0</v>
      </c>
      <c r="AA8">
        <v>265</v>
      </c>
      <c r="AB8">
        <v>211</v>
      </c>
      <c r="AC8">
        <v>27</v>
      </c>
      <c r="AD8">
        <v>48</v>
      </c>
      <c r="AE8" t="s">
        <v>43</v>
      </c>
    </row>
    <row r="9" spans="1:31" x14ac:dyDescent="0.25">
      <c r="A9">
        <v>2023</v>
      </c>
      <c r="B9">
        <f>_xlfn.XLOOKUP(census_data[[#This Row],[Community Area]],'[1]Neighborhood Codes'!$B:$B,'[1]Neighborhood Codes'!$A:$A,"N/a")</f>
        <v>21</v>
      </c>
      <c r="C9" t="s">
        <v>44</v>
      </c>
      <c r="D9">
        <v>689</v>
      </c>
      <c r="E9" s="2">
        <v>1191</v>
      </c>
      <c r="F9" s="2">
        <v>1106</v>
      </c>
      <c r="G9" s="2">
        <v>1726</v>
      </c>
      <c r="H9" s="2">
        <v>3059</v>
      </c>
      <c r="I9" s="2">
        <v>2666</v>
      </c>
      <c r="J9" s="2">
        <v>1811</v>
      </c>
      <c r="K9" s="2">
        <v>4559</v>
      </c>
      <c r="L9" s="2">
        <v>4354</v>
      </c>
      <c r="M9" s="2">
        <v>3117</v>
      </c>
      <c r="N9" s="2">
        <v>1272</v>
      </c>
      <c r="O9" s="2">
        <v>3768</v>
      </c>
      <c r="P9" s="2">
        <v>1755</v>
      </c>
      <c r="Q9" s="2">
        <v>4664</v>
      </c>
      <c r="R9" s="2">
        <v>3753</v>
      </c>
      <c r="S9" s="2">
        <v>2913</v>
      </c>
      <c r="T9" s="2">
        <v>1718</v>
      </c>
      <c r="U9" s="2">
        <v>36350</v>
      </c>
      <c r="V9" s="2">
        <v>19289</v>
      </c>
      <c r="W9">
        <v>927</v>
      </c>
      <c r="X9">
        <v>263</v>
      </c>
      <c r="Y9" s="2">
        <v>1750</v>
      </c>
      <c r="Z9">
        <v>15</v>
      </c>
      <c r="AA9" s="2">
        <v>7809</v>
      </c>
      <c r="AB9" s="2">
        <v>6297</v>
      </c>
      <c r="AC9" s="2">
        <v>13718</v>
      </c>
      <c r="AD9" s="2">
        <v>18606</v>
      </c>
      <c r="AE9" t="s">
        <v>45</v>
      </c>
    </row>
    <row r="10" spans="1:31" x14ac:dyDescent="0.25">
      <c r="A10">
        <v>2023</v>
      </c>
      <c r="B10">
        <f>_xlfn.XLOOKUP(census_data[[#This Row],[Community Area]],'[1]Neighborhood Codes'!$B:$B,'[1]Neighborhood Codes'!$A:$A,"N/a")</f>
        <v>19</v>
      </c>
      <c r="C10" t="s">
        <v>46</v>
      </c>
      <c r="D10" s="2">
        <v>1585</v>
      </c>
      <c r="E10" s="2">
        <v>3843</v>
      </c>
      <c r="F10" s="2">
        <v>3031</v>
      </c>
      <c r="G10" s="2">
        <v>4588</v>
      </c>
      <c r="H10" s="2">
        <v>3299</v>
      </c>
      <c r="I10" s="2">
        <v>9084</v>
      </c>
      <c r="J10" s="2">
        <v>3962</v>
      </c>
      <c r="K10" s="2">
        <v>5195</v>
      </c>
      <c r="L10" s="2">
        <v>8427</v>
      </c>
      <c r="M10" s="2">
        <v>6668</v>
      </c>
      <c r="N10" s="2">
        <v>3396</v>
      </c>
      <c r="O10" s="2">
        <v>9697</v>
      </c>
      <c r="P10" s="2">
        <v>3604</v>
      </c>
      <c r="Q10" s="2">
        <v>4798</v>
      </c>
      <c r="R10" s="2">
        <v>7358</v>
      </c>
      <c r="S10" s="2">
        <v>6445</v>
      </c>
      <c r="T10" s="2">
        <v>5352</v>
      </c>
      <c r="U10" s="2">
        <v>73988</v>
      </c>
      <c r="V10" s="2">
        <v>27909</v>
      </c>
      <c r="W10" s="2">
        <v>3370</v>
      </c>
      <c r="X10">
        <v>993</v>
      </c>
      <c r="Y10" s="2">
        <v>1939</v>
      </c>
      <c r="Z10">
        <v>23</v>
      </c>
      <c r="AA10" s="2">
        <v>25743</v>
      </c>
      <c r="AB10" s="2">
        <v>14011</v>
      </c>
      <c r="AC10" s="2">
        <v>10782</v>
      </c>
      <c r="AD10" s="2">
        <v>57511</v>
      </c>
      <c r="AE10" t="s">
        <v>47</v>
      </c>
    </row>
    <row r="11" spans="1:31" x14ac:dyDescent="0.25">
      <c r="A11">
        <v>2023</v>
      </c>
      <c r="B11">
        <f>_xlfn.XLOOKUP(census_data[[#This Row],[Community Area]],'[1]Neighborhood Codes'!$B:$B,'[1]Neighborhood Codes'!$A:$A,"N/a")</f>
        <v>72</v>
      </c>
      <c r="C11" t="s">
        <v>48</v>
      </c>
      <c r="D11">
        <v>160</v>
      </c>
      <c r="E11">
        <v>294</v>
      </c>
      <c r="F11">
        <v>355</v>
      </c>
      <c r="G11" s="2">
        <v>1074</v>
      </c>
      <c r="H11" s="2">
        <v>3255</v>
      </c>
      <c r="I11" s="2">
        <v>2069</v>
      </c>
      <c r="J11">
        <v>856</v>
      </c>
      <c r="K11">
        <v>863</v>
      </c>
      <c r="L11" s="2">
        <v>1776</v>
      </c>
      <c r="M11" s="2">
        <v>2112</v>
      </c>
      <c r="N11" s="2">
        <v>1795</v>
      </c>
      <c r="O11" s="2">
        <v>2206</v>
      </c>
      <c r="P11">
        <v>730</v>
      </c>
      <c r="Q11" s="2">
        <v>1027</v>
      </c>
      <c r="R11" s="2">
        <v>1667</v>
      </c>
      <c r="S11" s="2">
        <v>2627</v>
      </c>
      <c r="T11" s="2">
        <v>2082</v>
      </c>
      <c r="U11" s="2">
        <v>19811</v>
      </c>
      <c r="V11" s="2">
        <v>11330</v>
      </c>
      <c r="W11" s="2">
        <v>6671</v>
      </c>
      <c r="X11">
        <v>9</v>
      </c>
      <c r="Y11">
        <v>176</v>
      </c>
      <c r="Z11">
        <v>23</v>
      </c>
      <c r="AA11">
        <v>276</v>
      </c>
      <c r="AB11" s="2">
        <v>1327</v>
      </c>
      <c r="AC11" s="2">
        <v>10974</v>
      </c>
      <c r="AD11" s="2">
        <v>1389</v>
      </c>
      <c r="AE11" t="s">
        <v>49</v>
      </c>
    </row>
    <row r="12" spans="1:31" x14ac:dyDescent="0.25">
      <c r="A12">
        <v>2023</v>
      </c>
      <c r="B12">
        <f>_xlfn.XLOOKUP(census_data[[#This Row],[Community Area]],'[1]Neighborhood Codes'!$B:$B,'[1]Neighborhood Codes'!$A:$A,"N/a")</f>
        <v>60</v>
      </c>
      <c r="C12" t="s">
        <v>50</v>
      </c>
      <c r="D12" s="2">
        <v>1123</v>
      </c>
      <c r="E12" s="2">
        <v>1450</v>
      </c>
      <c r="F12" s="2">
        <v>1043</v>
      </c>
      <c r="G12" s="2">
        <v>1634</v>
      </c>
      <c r="H12" s="2">
        <v>2572</v>
      </c>
      <c r="I12" s="2">
        <v>3048</v>
      </c>
      <c r="J12" s="2">
        <v>1222</v>
      </c>
      <c r="K12" s="2">
        <v>3580</v>
      </c>
      <c r="L12" s="2">
        <v>3650</v>
      </c>
      <c r="M12" s="2">
        <v>2982</v>
      </c>
      <c r="N12" s="2">
        <v>2560</v>
      </c>
      <c r="O12" s="2">
        <v>2606</v>
      </c>
      <c r="P12" s="2">
        <v>1231</v>
      </c>
      <c r="Q12" s="2">
        <v>3327</v>
      </c>
      <c r="R12" s="2">
        <v>3241</v>
      </c>
      <c r="S12" s="2">
        <v>2969</v>
      </c>
      <c r="T12" s="2">
        <v>2594</v>
      </c>
      <c r="U12" s="2">
        <v>33012</v>
      </c>
      <c r="V12" s="2">
        <v>13410</v>
      </c>
      <c r="W12">
        <v>991</v>
      </c>
      <c r="X12">
        <v>152</v>
      </c>
      <c r="Y12" s="2">
        <v>13234</v>
      </c>
      <c r="Z12">
        <v>0</v>
      </c>
      <c r="AA12" s="2">
        <v>2751</v>
      </c>
      <c r="AB12" s="2">
        <v>2475</v>
      </c>
      <c r="AC12" s="2">
        <v>11334</v>
      </c>
      <c r="AD12" s="2">
        <v>6879</v>
      </c>
      <c r="AE12" t="s">
        <v>51</v>
      </c>
    </row>
    <row r="13" spans="1:31" x14ac:dyDescent="0.25">
      <c r="A13">
        <v>2023</v>
      </c>
      <c r="B13">
        <f>_xlfn.XLOOKUP(census_data[[#This Row],[Community Area]],'[1]Neighborhood Codes'!$B:$B,'[1]Neighborhood Codes'!$A:$A,"N/a")</f>
        <v>58</v>
      </c>
      <c r="C13" t="s">
        <v>52</v>
      </c>
      <c r="D13" s="2">
        <v>1685</v>
      </c>
      <c r="E13" s="2">
        <v>2564</v>
      </c>
      <c r="F13" s="2">
        <v>1889</v>
      </c>
      <c r="G13" s="2">
        <v>2138</v>
      </c>
      <c r="H13" s="2">
        <v>1531</v>
      </c>
      <c r="I13" s="2">
        <v>5354</v>
      </c>
      <c r="J13" s="2">
        <v>2207</v>
      </c>
      <c r="K13" s="2">
        <v>4308</v>
      </c>
      <c r="L13" s="2">
        <v>3517</v>
      </c>
      <c r="M13" s="2">
        <v>4085</v>
      </c>
      <c r="N13" s="2">
        <v>2317</v>
      </c>
      <c r="O13" s="2">
        <v>5398</v>
      </c>
      <c r="P13" s="2">
        <v>2564</v>
      </c>
      <c r="Q13" s="2">
        <v>3232</v>
      </c>
      <c r="R13" s="2">
        <v>3802</v>
      </c>
      <c r="S13" s="2">
        <v>3452</v>
      </c>
      <c r="T13" s="2">
        <v>2125</v>
      </c>
      <c r="U13" s="2">
        <v>42360</v>
      </c>
      <c r="V13" s="2">
        <v>14018</v>
      </c>
      <c r="W13">
        <v>937</v>
      </c>
      <c r="X13">
        <v>850</v>
      </c>
      <c r="Y13" s="2">
        <v>4391</v>
      </c>
      <c r="Z13">
        <v>128</v>
      </c>
      <c r="AA13" s="2">
        <v>14067</v>
      </c>
      <c r="AB13" s="2">
        <v>7969</v>
      </c>
      <c r="AC13" s="2">
        <v>3193</v>
      </c>
      <c r="AD13" s="2">
        <v>33785</v>
      </c>
      <c r="AE13" t="s">
        <v>53</v>
      </c>
    </row>
    <row r="14" spans="1:31" x14ac:dyDescent="0.25">
      <c r="A14">
        <v>2023</v>
      </c>
      <c r="B14">
        <f>_xlfn.XLOOKUP(census_data[[#This Row],[Community Area]],'[1]Neighborhood Codes'!$B:$B,'[1]Neighborhood Codes'!$A:$A,"N/a")</f>
        <v>47</v>
      </c>
      <c r="C14" t="s">
        <v>54</v>
      </c>
      <c r="D14">
        <v>31</v>
      </c>
      <c r="E14">
        <v>104</v>
      </c>
      <c r="F14">
        <v>73</v>
      </c>
      <c r="G14">
        <v>96</v>
      </c>
      <c r="H14">
        <v>136</v>
      </c>
      <c r="I14">
        <v>262</v>
      </c>
      <c r="J14">
        <v>82</v>
      </c>
      <c r="K14">
        <v>20</v>
      </c>
      <c r="L14">
        <v>182</v>
      </c>
      <c r="M14">
        <v>148</v>
      </c>
      <c r="N14">
        <v>210</v>
      </c>
      <c r="O14">
        <v>189</v>
      </c>
      <c r="P14">
        <v>63</v>
      </c>
      <c r="Q14">
        <v>126</v>
      </c>
      <c r="R14">
        <v>292</v>
      </c>
      <c r="S14">
        <v>323</v>
      </c>
      <c r="T14">
        <v>333</v>
      </c>
      <c r="U14" s="2">
        <v>2229</v>
      </c>
      <c r="V14">
        <v>40</v>
      </c>
      <c r="W14" s="2">
        <v>2007</v>
      </c>
      <c r="X14">
        <v>0</v>
      </c>
      <c r="Y14">
        <v>0</v>
      </c>
      <c r="Z14">
        <v>0</v>
      </c>
      <c r="AA14">
        <v>0</v>
      </c>
      <c r="AB14">
        <v>183</v>
      </c>
      <c r="AC14">
        <v>40</v>
      </c>
      <c r="AD14">
        <v>108</v>
      </c>
      <c r="AE14" t="s">
        <v>55</v>
      </c>
    </row>
    <row r="15" spans="1:31" x14ac:dyDescent="0.25">
      <c r="A15">
        <v>2023</v>
      </c>
      <c r="B15">
        <f>_xlfn.XLOOKUP(census_data[[#This Row],[Community Area]],'[1]Neighborhood Codes'!$B:$B,'[1]Neighborhood Codes'!$A:$A,"N/a")</f>
        <v>48</v>
      </c>
      <c r="C15" t="s">
        <v>56</v>
      </c>
      <c r="D15">
        <v>353</v>
      </c>
      <c r="E15">
        <v>308</v>
      </c>
      <c r="F15">
        <v>431</v>
      </c>
      <c r="G15">
        <v>906</v>
      </c>
      <c r="H15">
        <v>903</v>
      </c>
      <c r="I15">
        <v>930</v>
      </c>
      <c r="J15">
        <v>221</v>
      </c>
      <c r="K15">
        <v>783</v>
      </c>
      <c r="L15">
        <v>661</v>
      </c>
      <c r="M15" s="2">
        <v>1057</v>
      </c>
      <c r="N15" s="2">
        <v>1133</v>
      </c>
      <c r="O15" s="2">
        <v>1232</v>
      </c>
      <c r="P15">
        <v>541</v>
      </c>
      <c r="Q15">
        <v>707</v>
      </c>
      <c r="R15" s="2">
        <v>1056</v>
      </c>
      <c r="S15" s="2">
        <v>1477</v>
      </c>
      <c r="T15" s="2">
        <v>2279</v>
      </c>
      <c r="U15" s="2">
        <v>12078</v>
      </c>
      <c r="V15">
        <v>130</v>
      </c>
      <c r="W15" s="2">
        <v>11470</v>
      </c>
      <c r="X15">
        <v>19</v>
      </c>
      <c r="Y15">
        <v>17</v>
      </c>
      <c r="Z15">
        <v>0</v>
      </c>
      <c r="AA15">
        <v>158</v>
      </c>
      <c r="AB15">
        <v>284</v>
      </c>
      <c r="AC15">
        <v>28</v>
      </c>
      <c r="AD15">
        <v>498</v>
      </c>
      <c r="AE15" t="s">
        <v>57</v>
      </c>
    </row>
    <row r="16" spans="1:31" x14ac:dyDescent="0.25">
      <c r="A16">
        <v>2023</v>
      </c>
      <c r="B16">
        <f>_xlfn.XLOOKUP(census_data[[#This Row],[Community Area]],'[1]Neighborhood Codes'!$B:$B,'[1]Neighborhood Codes'!$A:$A,"N/a")</f>
        <v>44</v>
      </c>
      <c r="C16" t="s">
        <v>58</v>
      </c>
      <c r="D16" s="2">
        <v>1530</v>
      </c>
      <c r="E16" s="2">
        <v>1427</v>
      </c>
      <c r="F16">
        <v>940</v>
      </c>
      <c r="G16" s="2">
        <v>1291</v>
      </c>
      <c r="H16" s="2">
        <v>1356</v>
      </c>
      <c r="I16" s="2">
        <v>3149</v>
      </c>
      <c r="J16" s="2">
        <v>1317</v>
      </c>
      <c r="K16" s="2">
        <v>2269</v>
      </c>
      <c r="L16" s="2">
        <v>1889</v>
      </c>
      <c r="M16" s="2">
        <v>3182</v>
      </c>
      <c r="N16" s="2">
        <v>1955</v>
      </c>
      <c r="O16" s="2">
        <v>2565</v>
      </c>
      <c r="P16" s="2">
        <v>1774</v>
      </c>
      <c r="Q16" s="2">
        <v>2398</v>
      </c>
      <c r="R16" s="2">
        <v>3096</v>
      </c>
      <c r="S16" s="2">
        <v>3965</v>
      </c>
      <c r="T16" s="2">
        <v>3881</v>
      </c>
      <c r="U16" s="2">
        <v>31440</v>
      </c>
      <c r="V16">
        <v>414</v>
      </c>
      <c r="W16" s="2">
        <v>29714</v>
      </c>
      <c r="X16">
        <v>69</v>
      </c>
      <c r="Y16">
        <v>111</v>
      </c>
      <c r="Z16">
        <v>0</v>
      </c>
      <c r="AA16">
        <v>276</v>
      </c>
      <c r="AB16">
        <v>855</v>
      </c>
      <c r="AC16">
        <v>336</v>
      </c>
      <c r="AD16">
        <v>783</v>
      </c>
      <c r="AE16" t="s">
        <v>59</v>
      </c>
    </row>
    <row r="17" spans="1:31" x14ac:dyDescent="0.25">
      <c r="A17">
        <v>2023</v>
      </c>
      <c r="B17">
        <f>_xlfn.XLOOKUP(census_data[[#This Row],[Community Area]],'[1]Neighborhood Codes'!$B:$B,'[1]Neighborhood Codes'!$A:$A,"N/a")</f>
        <v>66</v>
      </c>
      <c r="C17" t="s">
        <v>60</v>
      </c>
      <c r="D17" s="2">
        <v>2242</v>
      </c>
      <c r="E17" s="2">
        <v>2901</v>
      </c>
      <c r="F17" s="2">
        <v>2615</v>
      </c>
      <c r="G17" s="2">
        <v>2352</v>
      </c>
      <c r="H17" s="2">
        <v>1408</v>
      </c>
      <c r="I17" s="2">
        <v>6370</v>
      </c>
      <c r="J17" s="2">
        <v>3202</v>
      </c>
      <c r="K17" s="2">
        <v>3678</v>
      </c>
      <c r="L17" s="2">
        <v>5317</v>
      </c>
      <c r="M17" s="2">
        <v>3471</v>
      </c>
      <c r="N17" s="2">
        <v>3416</v>
      </c>
      <c r="O17" s="2">
        <v>6727</v>
      </c>
      <c r="P17" s="2">
        <v>3025</v>
      </c>
      <c r="Q17" s="2">
        <v>4383</v>
      </c>
      <c r="R17" s="2">
        <v>4672</v>
      </c>
      <c r="S17" s="2">
        <v>4160</v>
      </c>
      <c r="T17" s="2">
        <v>3824</v>
      </c>
      <c r="U17" s="2">
        <v>52245</v>
      </c>
      <c r="V17" s="2">
        <v>10788</v>
      </c>
      <c r="W17" s="2">
        <v>19658</v>
      </c>
      <c r="X17">
        <v>806</v>
      </c>
      <c r="Y17">
        <v>272</v>
      </c>
      <c r="Z17">
        <v>0</v>
      </c>
      <c r="AA17" s="2">
        <v>12657</v>
      </c>
      <c r="AB17" s="2">
        <v>8064</v>
      </c>
      <c r="AC17" s="2">
        <v>1143</v>
      </c>
      <c r="AD17" s="2">
        <v>30407</v>
      </c>
      <c r="AE17" t="s">
        <v>61</v>
      </c>
    </row>
    <row r="18" spans="1:31" x14ac:dyDescent="0.25">
      <c r="A18">
        <v>2023</v>
      </c>
      <c r="B18">
        <f>_xlfn.XLOOKUP(census_data[[#This Row],[Community Area]],'[1]Neighborhood Codes'!$B:$B,'[1]Neighborhood Codes'!$A:$A,"N/a")</f>
        <v>64</v>
      </c>
      <c r="C18" t="s">
        <v>62</v>
      </c>
      <c r="D18">
        <v>359</v>
      </c>
      <c r="E18">
        <v>997</v>
      </c>
      <c r="F18" s="2">
        <v>1002</v>
      </c>
      <c r="G18" s="2">
        <v>1677</v>
      </c>
      <c r="H18" s="2">
        <v>1913</v>
      </c>
      <c r="I18" s="2">
        <v>3350</v>
      </c>
      <c r="J18" s="2">
        <v>1088</v>
      </c>
      <c r="K18" s="2">
        <v>1920</v>
      </c>
      <c r="L18" s="2">
        <v>3146</v>
      </c>
      <c r="M18" s="2">
        <v>1993</v>
      </c>
      <c r="N18" s="2">
        <v>1381</v>
      </c>
      <c r="O18" s="2">
        <v>2561</v>
      </c>
      <c r="P18">
        <v>900</v>
      </c>
      <c r="Q18" s="2">
        <v>1817</v>
      </c>
      <c r="R18" s="2">
        <v>2472</v>
      </c>
      <c r="S18" s="2">
        <v>2236</v>
      </c>
      <c r="T18" s="2">
        <v>1847</v>
      </c>
      <c r="U18" s="2">
        <v>24710</v>
      </c>
      <c r="V18" s="2">
        <v>13917</v>
      </c>
      <c r="W18">
        <v>486</v>
      </c>
      <c r="X18">
        <v>479</v>
      </c>
      <c r="Y18">
        <v>178</v>
      </c>
      <c r="Z18">
        <v>37</v>
      </c>
      <c r="AA18" s="2">
        <v>4913</v>
      </c>
      <c r="AB18" s="2">
        <v>4701</v>
      </c>
      <c r="AC18" s="2">
        <v>8932</v>
      </c>
      <c r="AD18" s="2">
        <v>14872</v>
      </c>
      <c r="AE18" t="s">
        <v>63</v>
      </c>
    </row>
    <row r="19" spans="1:31" x14ac:dyDescent="0.25">
      <c r="A19">
        <v>2023</v>
      </c>
      <c r="B19">
        <f>_xlfn.XLOOKUP(census_data[[#This Row],[Community Area]],'[1]Neighborhood Codes'!$B:$B,'[1]Neighborhood Codes'!$A:$A,"N/a")</f>
        <v>35</v>
      </c>
      <c r="C19" t="s">
        <v>64</v>
      </c>
      <c r="D19">
        <v>689</v>
      </c>
      <c r="E19">
        <v>571</v>
      </c>
      <c r="F19">
        <v>526</v>
      </c>
      <c r="G19">
        <v>431</v>
      </c>
      <c r="H19">
        <v>737</v>
      </c>
      <c r="I19" s="2">
        <v>1630</v>
      </c>
      <c r="J19" s="2">
        <v>1654</v>
      </c>
      <c r="K19" s="2">
        <v>1445</v>
      </c>
      <c r="L19" s="2">
        <v>1400</v>
      </c>
      <c r="M19" s="2">
        <v>1276</v>
      </c>
      <c r="N19" s="2">
        <v>1149</v>
      </c>
      <c r="O19" s="2">
        <v>1464</v>
      </c>
      <c r="P19" s="2">
        <v>1511</v>
      </c>
      <c r="Q19" s="2">
        <v>1994</v>
      </c>
      <c r="R19" s="2">
        <v>1463</v>
      </c>
      <c r="S19" s="2">
        <v>1626</v>
      </c>
      <c r="T19" s="2">
        <v>2017</v>
      </c>
      <c r="U19" s="2">
        <v>18629</v>
      </c>
      <c r="V19" s="2">
        <v>2278</v>
      </c>
      <c r="W19" s="2">
        <v>12400</v>
      </c>
      <c r="X19">
        <v>214</v>
      </c>
      <c r="Y19" s="2">
        <v>2006</v>
      </c>
      <c r="Z19">
        <v>0</v>
      </c>
      <c r="AA19">
        <v>797</v>
      </c>
      <c r="AB19">
        <v>936</v>
      </c>
      <c r="AC19" s="2">
        <v>2042</v>
      </c>
      <c r="AD19" s="2">
        <v>1416</v>
      </c>
      <c r="AE19" t="s">
        <v>65</v>
      </c>
    </row>
    <row r="20" spans="1:31" x14ac:dyDescent="0.25">
      <c r="A20">
        <v>2023</v>
      </c>
      <c r="B20">
        <f>_xlfn.XLOOKUP(census_data[[#This Row],[Community Area]],'[1]Neighborhood Codes'!$B:$B,'[1]Neighborhood Codes'!$A:$A,"N/a")</f>
        <v>17</v>
      </c>
      <c r="C20" t="s">
        <v>66</v>
      </c>
      <c r="D20">
        <v>761</v>
      </c>
      <c r="E20" s="2">
        <v>1136</v>
      </c>
      <c r="F20" s="2">
        <v>1714</v>
      </c>
      <c r="G20" s="2">
        <v>3223</v>
      </c>
      <c r="H20" s="2">
        <v>4246</v>
      </c>
      <c r="I20" s="2">
        <v>4181</v>
      </c>
      <c r="J20" s="2">
        <v>1634</v>
      </c>
      <c r="K20" s="2">
        <v>2430</v>
      </c>
      <c r="L20" s="2">
        <v>4527</v>
      </c>
      <c r="M20" s="2">
        <v>5135</v>
      </c>
      <c r="N20" s="2">
        <v>2831</v>
      </c>
      <c r="O20" s="2">
        <v>4077</v>
      </c>
      <c r="P20" s="2">
        <v>1902</v>
      </c>
      <c r="Q20" s="2">
        <v>2693</v>
      </c>
      <c r="R20" s="2">
        <v>4013</v>
      </c>
      <c r="S20" s="2">
        <v>4902</v>
      </c>
      <c r="T20" s="2">
        <v>4222</v>
      </c>
      <c r="U20" s="2">
        <v>42548</v>
      </c>
      <c r="V20" s="2">
        <v>28488</v>
      </c>
      <c r="W20" s="2">
        <v>1273</v>
      </c>
      <c r="X20">
        <v>225</v>
      </c>
      <c r="Y20" s="2">
        <v>2450</v>
      </c>
      <c r="Z20">
        <v>4</v>
      </c>
      <c r="AA20" s="2">
        <v>5328</v>
      </c>
      <c r="AB20" s="2">
        <v>4779</v>
      </c>
      <c r="AC20" s="2">
        <v>23593</v>
      </c>
      <c r="AD20" s="2">
        <v>14613</v>
      </c>
      <c r="AE20" t="s">
        <v>67</v>
      </c>
    </row>
    <row r="21" spans="1:31" x14ac:dyDescent="0.25">
      <c r="A21">
        <v>2023</v>
      </c>
      <c r="B21">
        <f>_xlfn.XLOOKUP(census_data[[#This Row],[Community Area]],'[1]Neighborhood Codes'!$B:$B,'[1]Neighborhood Codes'!$A:$A,"N/a")</f>
        <v>27</v>
      </c>
      <c r="C21" t="s">
        <v>68</v>
      </c>
      <c r="D21" s="2">
        <v>1416</v>
      </c>
      <c r="E21" s="2">
        <v>1114</v>
      </c>
      <c r="F21">
        <v>462</v>
      </c>
      <c r="G21">
        <v>767</v>
      </c>
      <c r="H21">
        <v>436</v>
      </c>
      <c r="I21" s="2">
        <v>2588</v>
      </c>
      <c r="J21">
        <v>872</v>
      </c>
      <c r="K21" s="2">
        <v>1525</v>
      </c>
      <c r="L21" s="2">
        <v>1599</v>
      </c>
      <c r="M21" s="2">
        <v>1499</v>
      </c>
      <c r="N21">
        <v>796</v>
      </c>
      <c r="O21" s="2">
        <v>2730</v>
      </c>
      <c r="P21" s="2">
        <v>1264</v>
      </c>
      <c r="Q21" s="2">
        <v>1378</v>
      </c>
      <c r="R21" s="2">
        <v>2624</v>
      </c>
      <c r="S21" s="2">
        <v>1669</v>
      </c>
      <c r="T21" s="2">
        <v>1312</v>
      </c>
      <c r="U21" s="2">
        <v>19855</v>
      </c>
      <c r="V21" s="2">
        <v>1537</v>
      </c>
      <c r="W21" s="2">
        <v>16911</v>
      </c>
      <c r="X21">
        <v>47</v>
      </c>
      <c r="Y21">
        <v>35</v>
      </c>
      <c r="Z21">
        <v>13</v>
      </c>
      <c r="AA21">
        <v>494</v>
      </c>
      <c r="AB21">
        <v>818</v>
      </c>
      <c r="AC21" s="2">
        <v>1130</v>
      </c>
      <c r="AD21" s="2">
        <v>1535</v>
      </c>
      <c r="AE21" t="s">
        <v>69</v>
      </c>
    </row>
    <row r="22" spans="1:31" x14ac:dyDescent="0.25">
      <c r="A22">
        <v>2023</v>
      </c>
      <c r="B22">
        <f>_xlfn.XLOOKUP(census_data[[#This Row],[Community Area]],'[1]Neighborhood Codes'!$B:$B,'[1]Neighborhood Codes'!$A:$A,"N/a")</f>
        <v>52</v>
      </c>
      <c r="C22" t="s">
        <v>70</v>
      </c>
      <c r="D22">
        <v>712</v>
      </c>
      <c r="E22" s="2">
        <v>1248</v>
      </c>
      <c r="F22" s="2">
        <v>1214</v>
      </c>
      <c r="G22" s="2">
        <v>1450</v>
      </c>
      <c r="H22">
        <v>988</v>
      </c>
      <c r="I22" s="2">
        <v>2988</v>
      </c>
      <c r="J22" s="2">
        <v>1376</v>
      </c>
      <c r="K22" s="2">
        <v>1539</v>
      </c>
      <c r="L22" s="2">
        <v>2518</v>
      </c>
      <c r="M22" s="2">
        <v>2232</v>
      </c>
      <c r="N22" s="2">
        <v>1010</v>
      </c>
      <c r="O22" s="2">
        <v>3668</v>
      </c>
      <c r="P22" s="2">
        <v>1311</v>
      </c>
      <c r="Q22" s="2">
        <v>1359</v>
      </c>
      <c r="R22" s="2">
        <v>2324</v>
      </c>
      <c r="S22" s="2">
        <v>1833</v>
      </c>
      <c r="T22" s="2">
        <v>1473</v>
      </c>
      <c r="U22" s="2">
        <v>23629</v>
      </c>
      <c r="V22" s="2">
        <v>10892</v>
      </c>
      <c r="W22">
        <v>365</v>
      </c>
      <c r="X22">
        <v>597</v>
      </c>
      <c r="Y22">
        <v>146</v>
      </c>
      <c r="Z22">
        <v>0</v>
      </c>
      <c r="AA22" s="2">
        <v>7703</v>
      </c>
      <c r="AB22" s="2">
        <v>3927</v>
      </c>
      <c r="AC22" s="2">
        <v>2651</v>
      </c>
      <c r="AD22" s="2">
        <v>20479</v>
      </c>
      <c r="AE22" t="s">
        <v>71</v>
      </c>
    </row>
    <row r="23" spans="1:31" x14ac:dyDescent="0.25">
      <c r="A23">
        <v>2023</v>
      </c>
      <c r="B23">
        <f>_xlfn.XLOOKUP(census_data[[#This Row],[Community Area]],'[1]Neighborhood Codes'!$B:$B,'[1]Neighborhood Codes'!$A:$A,"N/a")</f>
        <v>77</v>
      </c>
      <c r="C23" t="s">
        <v>72</v>
      </c>
      <c r="D23">
        <v>736</v>
      </c>
      <c r="E23" s="2">
        <v>1082</v>
      </c>
      <c r="F23">
        <v>909</v>
      </c>
      <c r="G23" s="2">
        <v>1984</v>
      </c>
      <c r="H23" s="2">
        <v>3751</v>
      </c>
      <c r="I23" s="2">
        <v>2835</v>
      </c>
      <c r="J23" s="2">
        <v>2070</v>
      </c>
      <c r="K23" s="2">
        <v>5429</v>
      </c>
      <c r="L23" s="2">
        <v>6256</v>
      </c>
      <c r="M23" s="2">
        <v>4618</v>
      </c>
      <c r="N23" s="2">
        <v>3208</v>
      </c>
      <c r="O23" s="2">
        <v>2770</v>
      </c>
      <c r="P23" s="2">
        <v>2761</v>
      </c>
      <c r="Q23" s="2">
        <v>5238</v>
      </c>
      <c r="R23" s="2">
        <v>4632</v>
      </c>
      <c r="S23" s="2">
        <v>3545</v>
      </c>
      <c r="T23" s="2">
        <v>4121</v>
      </c>
      <c r="U23" s="2">
        <v>47484</v>
      </c>
      <c r="V23" s="2">
        <v>28646</v>
      </c>
      <c r="W23" s="2">
        <v>5684</v>
      </c>
      <c r="X23">
        <v>87</v>
      </c>
      <c r="Y23" s="2">
        <v>5724</v>
      </c>
      <c r="Z23">
        <v>90</v>
      </c>
      <c r="AA23" s="2">
        <v>1724</v>
      </c>
      <c r="AB23" s="2">
        <v>5529</v>
      </c>
      <c r="AC23" s="2">
        <v>25939</v>
      </c>
      <c r="AD23" s="2">
        <v>7756</v>
      </c>
      <c r="AE23" t="s">
        <v>73</v>
      </c>
    </row>
    <row r="24" spans="1:31" x14ac:dyDescent="0.25">
      <c r="A24">
        <v>2023</v>
      </c>
      <c r="B24">
        <f>_xlfn.XLOOKUP(census_data[[#This Row],[Community Area]],'[1]Neighborhood Codes'!$B:$B,'[1]Neighborhood Codes'!$A:$A,"N/a")</f>
        <v>9</v>
      </c>
      <c r="C24" t="s">
        <v>74</v>
      </c>
      <c r="D24">
        <v>123</v>
      </c>
      <c r="E24">
        <v>183</v>
      </c>
      <c r="F24">
        <v>109</v>
      </c>
      <c r="G24">
        <v>677</v>
      </c>
      <c r="H24" s="2">
        <v>1846</v>
      </c>
      <c r="I24" s="2">
        <v>1248</v>
      </c>
      <c r="J24">
        <v>301</v>
      </c>
      <c r="K24">
        <v>624</v>
      </c>
      <c r="L24" s="2">
        <v>1045</v>
      </c>
      <c r="M24" s="2">
        <v>1437</v>
      </c>
      <c r="N24">
        <v>808</v>
      </c>
      <c r="O24" s="2">
        <v>1292</v>
      </c>
      <c r="P24">
        <v>331</v>
      </c>
      <c r="Q24" s="2">
        <v>1141</v>
      </c>
      <c r="R24" s="2">
        <v>1063</v>
      </c>
      <c r="S24" s="2">
        <v>1256</v>
      </c>
      <c r="T24">
        <v>854</v>
      </c>
      <c r="U24" s="2">
        <v>11398</v>
      </c>
      <c r="V24" s="2">
        <v>9914</v>
      </c>
      <c r="W24">
        <v>50</v>
      </c>
      <c r="X24">
        <v>0</v>
      </c>
      <c r="Y24">
        <v>178</v>
      </c>
      <c r="Z24">
        <v>0</v>
      </c>
      <c r="AA24">
        <v>517</v>
      </c>
      <c r="AB24">
        <v>739</v>
      </c>
      <c r="AC24" s="2">
        <v>9162</v>
      </c>
      <c r="AD24" s="2">
        <v>1673</v>
      </c>
      <c r="AE24" t="s">
        <v>75</v>
      </c>
    </row>
    <row r="25" spans="1:31" x14ac:dyDescent="0.25">
      <c r="A25">
        <v>2023</v>
      </c>
      <c r="B25">
        <f>_xlfn.XLOOKUP(census_data[[#This Row],[Community Area]],'[1]Neighborhood Codes'!$B:$B,'[1]Neighborhood Codes'!$A:$A,"N/a")</f>
        <v>68</v>
      </c>
      <c r="C25" t="s">
        <v>76</v>
      </c>
      <c r="D25" s="2">
        <v>1501</v>
      </c>
      <c r="E25" s="2">
        <v>1264</v>
      </c>
      <c r="F25">
        <v>754</v>
      </c>
      <c r="G25">
        <v>705</v>
      </c>
      <c r="H25">
        <v>321</v>
      </c>
      <c r="I25" s="2">
        <v>2835</v>
      </c>
      <c r="J25">
        <v>934</v>
      </c>
      <c r="K25" s="2">
        <v>1402</v>
      </c>
      <c r="L25" s="2">
        <v>1506</v>
      </c>
      <c r="M25" s="2">
        <v>2045</v>
      </c>
      <c r="N25" s="2">
        <v>1418</v>
      </c>
      <c r="O25" s="2">
        <v>2400</v>
      </c>
      <c r="P25" s="2">
        <v>1018</v>
      </c>
      <c r="Q25" s="2">
        <v>1813</v>
      </c>
      <c r="R25" s="2">
        <v>1662</v>
      </c>
      <c r="S25" s="2">
        <v>2454</v>
      </c>
      <c r="T25" s="2">
        <v>1851</v>
      </c>
      <c r="U25" s="2">
        <v>21337</v>
      </c>
      <c r="V25">
        <v>619</v>
      </c>
      <c r="W25" s="2">
        <v>19500</v>
      </c>
      <c r="X25">
        <v>20</v>
      </c>
      <c r="Y25">
        <v>167</v>
      </c>
      <c r="Z25">
        <v>0</v>
      </c>
      <c r="AA25">
        <v>515</v>
      </c>
      <c r="AB25">
        <v>516</v>
      </c>
      <c r="AC25">
        <v>276</v>
      </c>
      <c r="AD25" s="2">
        <v>1114</v>
      </c>
      <c r="AE25" t="s">
        <v>77</v>
      </c>
    </row>
    <row r="26" spans="1:31" x14ac:dyDescent="0.25">
      <c r="A26">
        <v>2023</v>
      </c>
      <c r="B26">
        <f>_xlfn.XLOOKUP(census_data[[#This Row],[Community Area]],'[1]Neighborhood Codes'!$B:$B,'[1]Neighborhood Codes'!$A:$A,"N/a")</f>
        <v>12</v>
      </c>
      <c r="C26" t="s">
        <v>78</v>
      </c>
      <c r="D26">
        <v>162</v>
      </c>
      <c r="E26">
        <v>349</v>
      </c>
      <c r="F26">
        <v>343</v>
      </c>
      <c r="G26">
        <v>953</v>
      </c>
      <c r="H26" s="2">
        <v>3439</v>
      </c>
      <c r="I26" s="2">
        <v>2749</v>
      </c>
      <c r="J26">
        <v>504</v>
      </c>
      <c r="K26">
        <v>925</v>
      </c>
      <c r="L26" s="2">
        <v>2140</v>
      </c>
      <c r="M26" s="2">
        <v>1833</v>
      </c>
      <c r="N26" s="2">
        <v>1628</v>
      </c>
      <c r="O26" s="2">
        <v>2234</v>
      </c>
      <c r="P26">
        <v>455</v>
      </c>
      <c r="Q26">
        <v>954</v>
      </c>
      <c r="R26" s="2">
        <v>2392</v>
      </c>
      <c r="S26" s="2">
        <v>1990</v>
      </c>
      <c r="T26" s="2">
        <v>1959</v>
      </c>
      <c r="U26" s="2">
        <v>19763</v>
      </c>
      <c r="V26" s="2">
        <v>15419</v>
      </c>
      <c r="W26">
        <v>193</v>
      </c>
      <c r="X26">
        <v>0</v>
      </c>
      <c r="Y26" s="2">
        <v>2190</v>
      </c>
      <c r="Z26">
        <v>0</v>
      </c>
      <c r="AA26">
        <v>725</v>
      </c>
      <c r="AB26" s="2">
        <v>1236</v>
      </c>
      <c r="AC26" s="2">
        <v>14528</v>
      </c>
      <c r="AD26" s="2">
        <v>2133</v>
      </c>
      <c r="AE26" t="s">
        <v>79</v>
      </c>
    </row>
    <row r="27" spans="1:31" x14ac:dyDescent="0.25">
      <c r="A27">
        <v>2023</v>
      </c>
      <c r="B27">
        <f>_xlfn.XLOOKUP(census_data[[#This Row],[Community Area]],'[1]Neighborhood Codes'!$B:$B,'[1]Neighborhood Codes'!$A:$A,"N/a")</f>
        <v>37</v>
      </c>
      <c r="C27" t="s">
        <v>80</v>
      </c>
      <c r="D27">
        <v>186</v>
      </c>
      <c r="E27">
        <v>113</v>
      </c>
      <c r="F27">
        <v>36</v>
      </c>
      <c r="G27">
        <v>61</v>
      </c>
      <c r="H27">
        <v>34</v>
      </c>
      <c r="I27">
        <v>225</v>
      </c>
      <c r="J27">
        <v>149</v>
      </c>
      <c r="K27">
        <v>75</v>
      </c>
      <c r="L27">
        <v>87</v>
      </c>
      <c r="M27">
        <v>134</v>
      </c>
      <c r="N27">
        <v>365</v>
      </c>
      <c r="O27">
        <v>212</v>
      </c>
      <c r="P27">
        <v>86</v>
      </c>
      <c r="Q27">
        <v>110</v>
      </c>
      <c r="R27">
        <v>194</v>
      </c>
      <c r="S27">
        <v>269</v>
      </c>
      <c r="T27">
        <v>280</v>
      </c>
      <c r="U27" s="2">
        <v>2186</v>
      </c>
      <c r="V27">
        <v>148</v>
      </c>
      <c r="W27" s="2">
        <v>1850</v>
      </c>
      <c r="X27">
        <v>7</v>
      </c>
      <c r="Y27">
        <v>7</v>
      </c>
      <c r="Z27">
        <v>0</v>
      </c>
      <c r="AA27">
        <v>22</v>
      </c>
      <c r="AB27">
        <v>151</v>
      </c>
      <c r="AC27">
        <v>86</v>
      </c>
      <c r="AD27">
        <v>232</v>
      </c>
      <c r="AE27" t="s">
        <v>81</v>
      </c>
    </row>
    <row r="28" spans="1:31" x14ac:dyDescent="0.25">
      <c r="A28">
        <v>2023</v>
      </c>
      <c r="B28">
        <f>_xlfn.XLOOKUP(census_data[[#This Row],[Community Area]],'[1]Neighborhood Codes'!$B:$B,'[1]Neighborhood Codes'!$A:$A,"N/a")</f>
        <v>63</v>
      </c>
      <c r="C28" t="s">
        <v>82</v>
      </c>
      <c r="D28" s="2">
        <v>1007</v>
      </c>
      <c r="E28" s="2">
        <v>2038</v>
      </c>
      <c r="F28" s="2">
        <v>1582</v>
      </c>
      <c r="G28" s="2">
        <v>1619</v>
      </c>
      <c r="H28" s="2">
        <v>1240</v>
      </c>
      <c r="I28" s="2">
        <v>4256</v>
      </c>
      <c r="J28" s="2">
        <v>2089</v>
      </c>
      <c r="K28" s="2">
        <v>2910</v>
      </c>
      <c r="L28" s="2">
        <v>3105</v>
      </c>
      <c r="M28" s="2">
        <v>2809</v>
      </c>
      <c r="N28" s="2">
        <v>2007</v>
      </c>
      <c r="O28" s="2">
        <v>4786</v>
      </c>
      <c r="P28" s="2">
        <v>2159</v>
      </c>
      <c r="Q28" s="2">
        <v>2167</v>
      </c>
      <c r="R28" s="2">
        <v>3549</v>
      </c>
      <c r="S28" s="2">
        <v>2489</v>
      </c>
      <c r="T28" s="2">
        <v>2325</v>
      </c>
      <c r="U28" s="2">
        <v>34650</v>
      </c>
      <c r="V28" s="2">
        <v>13619</v>
      </c>
      <c r="W28" s="2">
        <v>1403</v>
      </c>
      <c r="X28">
        <v>536</v>
      </c>
      <c r="Y28">
        <v>264</v>
      </c>
      <c r="Z28">
        <v>1</v>
      </c>
      <c r="AA28" s="2">
        <v>13063</v>
      </c>
      <c r="AB28" s="2">
        <v>5764</v>
      </c>
      <c r="AC28">
        <v>995</v>
      </c>
      <c r="AD28" s="2">
        <v>31985</v>
      </c>
      <c r="AE28" t="s">
        <v>83</v>
      </c>
    </row>
    <row r="29" spans="1:31" x14ac:dyDescent="0.25">
      <c r="A29">
        <v>2023</v>
      </c>
      <c r="B29">
        <f>_xlfn.XLOOKUP(census_data[[#This Row],[Community Area]],'[1]Neighborhood Codes'!$B:$B,'[1]Neighborhood Codes'!$A:$A,"N/a")</f>
        <v>56</v>
      </c>
      <c r="C29" t="s">
        <v>84</v>
      </c>
      <c r="D29">
        <v>421</v>
      </c>
      <c r="E29" s="2">
        <v>1324</v>
      </c>
      <c r="F29" s="2">
        <v>1220</v>
      </c>
      <c r="G29" s="2">
        <v>2378</v>
      </c>
      <c r="H29" s="2">
        <v>3565</v>
      </c>
      <c r="I29" s="2">
        <v>4492</v>
      </c>
      <c r="J29" s="2">
        <v>1324</v>
      </c>
      <c r="K29" s="2">
        <v>2255</v>
      </c>
      <c r="L29" s="2">
        <v>3930</v>
      </c>
      <c r="M29" s="2">
        <v>3987</v>
      </c>
      <c r="N29" s="2">
        <v>2545</v>
      </c>
      <c r="O29" s="2">
        <v>3856</v>
      </c>
      <c r="P29">
        <v>978</v>
      </c>
      <c r="Q29" s="2">
        <v>2459</v>
      </c>
      <c r="R29" s="2">
        <v>3515</v>
      </c>
      <c r="S29" s="2">
        <v>3464</v>
      </c>
      <c r="T29" s="2">
        <v>3459</v>
      </c>
      <c r="U29" s="2">
        <v>36265</v>
      </c>
      <c r="V29" s="2">
        <v>21939</v>
      </c>
      <c r="W29" s="2">
        <v>1183</v>
      </c>
      <c r="X29">
        <v>502</v>
      </c>
      <c r="Y29">
        <v>595</v>
      </c>
      <c r="Z29">
        <v>40</v>
      </c>
      <c r="AA29" s="2">
        <v>6073</v>
      </c>
      <c r="AB29" s="2">
        <v>5932</v>
      </c>
      <c r="AC29" s="2">
        <v>13879</v>
      </c>
      <c r="AD29" s="2">
        <v>20235</v>
      </c>
      <c r="AE29" t="s">
        <v>85</v>
      </c>
    </row>
    <row r="30" spans="1:31" x14ac:dyDescent="0.25">
      <c r="A30">
        <v>2023</v>
      </c>
      <c r="B30">
        <f>_xlfn.XLOOKUP(census_data[[#This Row],[Community Area]],'[1]Neighborhood Codes'!$B:$B,'[1]Neighborhood Codes'!$A:$A,"N/a")</f>
        <v>38</v>
      </c>
      <c r="C30" t="s">
        <v>86</v>
      </c>
      <c r="D30">
        <v>913</v>
      </c>
      <c r="E30">
        <v>944</v>
      </c>
      <c r="F30">
        <v>651</v>
      </c>
      <c r="G30" s="2">
        <v>1406</v>
      </c>
      <c r="H30" s="2">
        <v>1292</v>
      </c>
      <c r="I30" s="2">
        <v>2160</v>
      </c>
      <c r="J30">
        <v>807</v>
      </c>
      <c r="K30" s="2">
        <v>2105</v>
      </c>
      <c r="L30" s="2">
        <v>1857</v>
      </c>
      <c r="M30" s="2">
        <v>2299</v>
      </c>
      <c r="N30" s="2">
        <v>1347</v>
      </c>
      <c r="O30" s="2">
        <v>2902</v>
      </c>
      <c r="P30" s="2">
        <v>1080</v>
      </c>
      <c r="Q30" s="2">
        <v>2370</v>
      </c>
      <c r="R30" s="2">
        <v>2930</v>
      </c>
      <c r="S30" s="2">
        <v>2586</v>
      </c>
      <c r="T30" s="2">
        <v>2365</v>
      </c>
      <c r="U30" s="2">
        <v>24808</v>
      </c>
      <c r="V30" s="2">
        <v>1339</v>
      </c>
      <c r="W30" s="2">
        <v>21947</v>
      </c>
      <c r="X30">
        <v>38</v>
      </c>
      <c r="Y30">
        <v>204</v>
      </c>
      <c r="Z30">
        <v>24</v>
      </c>
      <c r="AA30">
        <v>241</v>
      </c>
      <c r="AB30" s="2">
        <v>1015</v>
      </c>
      <c r="AC30" s="2">
        <v>1296</v>
      </c>
      <c r="AD30">
        <v>809</v>
      </c>
      <c r="AE30" t="s">
        <v>87</v>
      </c>
    </row>
    <row r="31" spans="1:31" x14ac:dyDescent="0.25">
      <c r="A31">
        <v>2023</v>
      </c>
      <c r="B31">
        <f>_xlfn.XLOOKUP(census_data[[#This Row],[Community Area]],'[1]Neighborhood Codes'!$B:$B,'[1]Neighborhood Codes'!$A:$A,"N/a")</f>
        <v>69</v>
      </c>
      <c r="C31" t="s">
        <v>88</v>
      </c>
      <c r="D31" s="2">
        <v>1853</v>
      </c>
      <c r="E31" s="2">
        <v>1764</v>
      </c>
      <c r="F31" s="2">
        <v>1121</v>
      </c>
      <c r="G31" s="2">
        <v>1172</v>
      </c>
      <c r="H31">
        <v>747</v>
      </c>
      <c r="I31" s="2">
        <v>3356</v>
      </c>
      <c r="J31" s="2">
        <v>1108</v>
      </c>
      <c r="K31" s="2">
        <v>1553</v>
      </c>
      <c r="L31" s="2">
        <v>2280</v>
      </c>
      <c r="M31" s="2">
        <v>2627</v>
      </c>
      <c r="N31" s="2">
        <v>2022</v>
      </c>
      <c r="O31" s="2">
        <v>3636</v>
      </c>
      <c r="P31" s="2">
        <v>1210</v>
      </c>
      <c r="Q31" s="2">
        <v>2250</v>
      </c>
      <c r="R31" s="2">
        <v>2972</v>
      </c>
      <c r="S31" s="2">
        <v>3042</v>
      </c>
      <c r="T31" s="2">
        <v>2996</v>
      </c>
      <c r="U31" s="2">
        <v>29052</v>
      </c>
      <c r="V31">
        <v>350</v>
      </c>
      <c r="W31" s="2">
        <v>27524</v>
      </c>
      <c r="X31">
        <v>184</v>
      </c>
      <c r="Y31">
        <v>74</v>
      </c>
      <c r="Z31">
        <v>1</v>
      </c>
      <c r="AA31">
        <v>531</v>
      </c>
      <c r="AB31">
        <v>387</v>
      </c>
      <c r="AC31">
        <v>304</v>
      </c>
      <c r="AD31">
        <v>756</v>
      </c>
      <c r="AE31" t="s">
        <v>89</v>
      </c>
    </row>
    <row r="32" spans="1:31" x14ac:dyDescent="0.25">
      <c r="A32">
        <v>2023</v>
      </c>
      <c r="B32">
        <f>_xlfn.XLOOKUP(census_data[[#This Row],[Community Area]],'[1]Neighborhood Codes'!$B:$B,'[1]Neighborhood Codes'!$A:$A,"N/a")</f>
        <v>55</v>
      </c>
      <c r="C32" t="s">
        <v>90</v>
      </c>
      <c r="D32">
        <v>213</v>
      </c>
      <c r="E32">
        <v>309</v>
      </c>
      <c r="F32">
        <v>462</v>
      </c>
      <c r="G32">
        <v>560</v>
      </c>
      <c r="H32">
        <v>592</v>
      </c>
      <c r="I32" s="2">
        <v>1099</v>
      </c>
      <c r="J32">
        <v>504</v>
      </c>
      <c r="K32">
        <v>550</v>
      </c>
      <c r="L32">
        <v>700</v>
      </c>
      <c r="M32" s="2">
        <v>1155</v>
      </c>
      <c r="N32">
        <v>623</v>
      </c>
      <c r="O32">
        <v>898</v>
      </c>
      <c r="P32">
        <v>286</v>
      </c>
      <c r="Q32">
        <v>671</v>
      </c>
      <c r="R32">
        <v>611</v>
      </c>
      <c r="S32">
        <v>890</v>
      </c>
      <c r="T32">
        <v>909</v>
      </c>
      <c r="U32" s="2">
        <v>8895</v>
      </c>
      <c r="V32" s="2">
        <v>4768</v>
      </c>
      <c r="W32" s="2">
        <v>1226</v>
      </c>
      <c r="X32">
        <v>10</v>
      </c>
      <c r="Y32">
        <v>59</v>
      </c>
      <c r="Z32">
        <v>0</v>
      </c>
      <c r="AA32" s="2">
        <v>2015</v>
      </c>
      <c r="AB32">
        <v>818</v>
      </c>
      <c r="AC32" s="2">
        <v>3236</v>
      </c>
      <c r="AD32" s="2">
        <v>4331</v>
      </c>
      <c r="AE32" t="s">
        <v>91</v>
      </c>
    </row>
    <row r="33" spans="1:31" x14ac:dyDescent="0.25">
      <c r="A33">
        <v>2023</v>
      </c>
      <c r="B33">
        <f>_xlfn.XLOOKUP(census_data[[#This Row],[Community Area]],'[1]Neighborhood Codes'!$B:$B,'[1]Neighborhood Codes'!$A:$A,"N/a")</f>
        <v>20</v>
      </c>
      <c r="C33" t="s">
        <v>92</v>
      </c>
      <c r="D33">
        <v>549</v>
      </c>
      <c r="E33" s="2">
        <v>1273</v>
      </c>
      <c r="F33">
        <v>974</v>
      </c>
      <c r="G33" s="2">
        <v>1270</v>
      </c>
      <c r="H33" s="2">
        <v>1148</v>
      </c>
      <c r="I33" s="2">
        <v>2900</v>
      </c>
      <c r="J33" s="2">
        <v>1411</v>
      </c>
      <c r="K33" s="2">
        <v>1738</v>
      </c>
      <c r="L33" s="2">
        <v>2605</v>
      </c>
      <c r="M33" s="2">
        <v>1995</v>
      </c>
      <c r="N33" s="2">
        <v>1238</v>
      </c>
      <c r="O33" s="2">
        <v>2498</v>
      </c>
      <c r="P33" s="2">
        <v>1370</v>
      </c>
      <c r="Q33" s="2">
        <v>1601</v>
      </c>
      <c r="R33" s="2">
        <v>2157</v>
      </c>
      <c r="S33" s="2">
        <v>1895</v>
      </c>
      <c r="T33" s="2">
        <v>1794</v>
      </c>
      <c r="U33" s="2">
        <v>23200</v>
      </c>
      <c r="V33" s="2">
        <v>8318</v>
      </c>
      <c r="W33" s="2">
        <v>1087</v>
      </c>
      <c r="X33">
        <v>107</v>
      </c>
      <c r="Y33">
        <v>702</v>
      </c>
      <c r="Z33">
        <v>11</v>
      </c>
      <c r="AA33" s="2">
        <v>8182</v>
      </c>
      <c r="AB33" s="2">
        <v>4793</v>
      </c>
      <c r="AC33" s="2">
        <v>2866</v>
      </c>
      <c r="AD33" s="2">
        <v>18578</v>
      </c>
      <c r="AE33" t="s">
        <v>93</v>
      </c>
    </row>
    <row r="34" spans="1:31" x14ac:dyDescent="0.25">
      <c r="A34">
        <v>2023</v>
      </c>
      <c r="B34">
        <f>_xlfn.XLOOKUP(census_data[[#This Row],[Community Area]],'[1]Neighborhood Codes'!$B:$B,'[1]Neighborhood Codes'!$A:$A,"N/a")</f>
        <v>23</v>
      </c>
      <c r="C34" t="s">
        <v>94</v>
      </c>
      <c r="D34" s="2">
        <v>2099</v>
      </c>
      <c r="E34" s="2">
        <v>3124</v>
      </c>
      <c r="F34" s="2">
        <v>2632</v>
      </c>
      <c r="G34" s="2">
        <v>2200</v>
      </c>
      <c r="H34" s="2">
        <v>1901</v>
      </c>
      <c r="I34" s="2">
        <v>7097</v>
      </c>
      <c r="J34" s="2">
        <v>2493</v>
      </c>
      <c r="K34" s="2">
        <v>4083</v>
      </c>
      <c r="L34" s="2">
        <v>5546</v>
      </c>
      <c r="M34" s="2">
        <v>4563</v>
      </c>
      <c r="N34" s="2">
        <v>2115</v>
      </c>
      <c r="O34" s="2">
        <v>7596</v>
      </c>
      <c r="P34" s="2">
        <v>2530</v>
      </c>
      <c r="Q34" s="2">
        <v>5466</v>
      </c>
      <c r="R34" s="2">
        <v>6141</v>
      </c>
      <c r="S34" s="2">
        <v>4312</v>
      </c>
      <c r="T34" s="2">
        <v>3073</v>
      </c>
      <c r="U34" s="2">
        <v>55015</v>
      </c>
      <c r="V34" s="2">
        <v>14677</v>
      </c>
      <c r="W34" s="2">
        <v>19829</v>
      </c>
      <c r="X34">
        <v>820</v>
      </c>
      <c r="Y34" s="2">
        <v>1335</v>
      </c>
      <c r="Z34">
        <v>0</v>
      </c>
      <c r="AA34" s="2">
        <v>11664</v>
      </c>
      <c r="AB34" s="2">
        <v>6691</v>
      </c>
      <c r="AC34" s="2">
        <v>6488</v>
      </c>
      <c r="AD34" s="2">
        <v>27389</v>
      </c>
      <c r="AE34" t="s">
        <v>95</v>
      </c>
    </row>
    <row r="35" spans="1:31" x14ac:dyDescent="0.25">
      <c r="A35">
        <v>2023</v>
      </c>
      <c r="B35">
        <f>_xlfn.XLOOKUP(census_data[[#This Row],[Community Area]],'[1]Neighborhood Codes'!$B:$B,'[1]Neighborhood Codes'!$A:$A,"N/a")</f>
        <v>41</v>
      </c>
      <c r="C35" t="s">
        <v>96</v>
      </c>
      <c r="D35">
        <v>301</v>
      </c>
      <c r="E35">
        <v>255</v>
      </c>
      <c r="F35">
        <v>309</v>
      </c>
      <c r="G35">
        <v>731</v>
      </c>
      <c r="H35" s="2">
        <v>2078</v>
      </c>
      <c r="I35" s="2">
        <v>1599</v>
      </c>
      <c r="J35" s="2">
        <v>3025</v>
      </c>
      <c r="K35" s="2">
        <v>2476</v>
      </c>
      <c r="L35" s="2">
        <v>1535</v>
      </c>
      <c r="M35" s="2">
        <v>1527</v>
      </c>
      <c r="N35" s="2">
        <v>1245</v>
      </c>
      <c r="O35" s="2">
        <v>1619</v>
      </c>
      <c r="P35" s="2">
        <v>3157</v>
      </c>
      <c r="Q35" s="2">
        <v>2614</v>
      </c>
      <c r="R35" s="2">
        <v>1916</v>
      </c>
      <c r="S35" s="2">
        <v>1683</v>
      </c>
      <c r="T35" s="2">
        <v>1696</v>
      </c>
      <c r="U35" s="2">
        <v>24092</v>
      </c>
      <c r="V35" s="2">
        <v>11509</v>
      </c>
      <c r="W35" s="2">
        <v>6143</v>
      </c>
      <c r="X35">
        <v>49</v>
      </c>
      <c r="Y35" s="2">
        <v>3763</v>
      </c>
      <c r="Z35">
        <v>0</v>
      </c>
      <c r="AA35">
        <v>604</v>
      </c>
      <c r="AB35" s="2">
        <v>2024</v>
      </c>
      <c r="AC35" s="2">
        <v>10805</v>
      </c>
      <c r="AD35" s="2">
        <v>1762</v>
      </c>
      <c r="AE35" t="s">
        <v>97</v>
      </c>
    </row>
    <row r="36" spans="1:31" x14ac:dyDescent="0.25">
      <c r="A36">
        <v>2023</v>
      </c>
      <c r="B36">
        <f>_xlfn.XLOOKUP(census_data[[#This Row],[Community Area]],'[1]Neighborhood Codes'!$B:$B,'[1]Neighborhood Codes'!$A:$A,"N/a")</f>
        <v>16</v>
      </c>
      <c r="C36" t="s">
        <v>98</v>
      </c>
      <c r="D36" s="2">
        <v>1028</v>
      </c>
      <c r="E36" s="2">
        <v>1882</v>
      </c>
      <c r="F36" s="2">
        <v>1674</v>
      </c>
      <c r="G36" s="2">
        <v>2798</v>
      </c>
      <c r="H36" s="2">
        <v>5232</v>
      </c>
      <c r="I36" s="2">
        <v>5486</v>
      </c>
      <c r="J36" s="2">
        <v>1611</v>
      </c>
      <c r="K36" s="2">
        <v>5235</v>
      </c>
      <c r="L36" s="2">
        <v>6967</v>
      </c>
      <c r="M36" s="2">
        <v>5024</v>
      </c>
      <c r="N36" s="2">
        <v>2446</v>
      </c>
      <c r="O36" s="2">
        <v>6188</v>
      </c>
      <c r="P36" s="2">
        <v>1507</v>
      </c>
      <c r="Q36" s="2">
        <v>4820</v>
      </c>
      <c r="R36" s="2">
        <v>6725</v>
      </c>
      <c r="S36" s="2">
        <v>4160</v>
      </c>
      <c r="T36" s="2">
        <v>3365</v>
      </c>
      <c r="U36" s="2">
        <v>53535</v>
      </c>
      <c r="V36" s="2">
        <v>31156</v>
      </c>
      <c r="W36" s="2">
        <v>2073</v>
      </c>
      <c r="X36">
        <v>205</v>
      </c>
      <c r="Y36" s="2">
        <v>5083</v>
      </c>
      <c r="Z36">
        <v>139</v>
      </c>
      <c r="AA36" s="2">
        <v>7625</v>
      </c>
      <c r="AB36" s="2">
        <v>7253</v>
      </c>
      <c r="AC36" s="2">
        <v>24178</v>
      </c>
      <c r="AD36" s="2">
        <v>20637</v>
      </c>
      <c r="AE36" t="s">
        <v>99</v>
      </c>
    </row>
    <row r="37" spans="1:31" x14ac:dyDescent="0.25">
      <c r="A37">
        <v>2023</v>
      </c>
      <c r="B37">
        <f>_xlfn.XLOOKUP(census_data[[#This Row],[Community Area]],'[1]Neighborhood Codes'!$B:$B,'[1]Neighborhood Codes'!$A:$A,"N/a")</f>
        <v>11</v>
      </c>
      <c r="C37" t="s">
        <v>100</v>
      </c>
      <c r="D37">
        <v>521</v>
      </c>
      <c r="E37">
        <v>751</v>
      </c>
      <c r="F37">
        <v>814</v>
      </c>
      <c r="G37" s="2">
        <v>1744</v>
      </c>
      <c r="H37" s="2">
        <v>2965</v>
      </c>
      <c r="I37" s="2">
        <v>2525</v>
      </c>
      <c r="J37">
        <v>940</v>
      </c>
      <c r="K37" s="2">
        <v>1972</v>
      </c>
      <c r="L37" s="2">
        <v>3183</v>
      </c>
      <c r="M37" s="2">
        <v>2898</v>
      </c>
      <c r="N37" s="2">
        <v>1593</v>
      </c>
      <c r="O37" s="2">
        <v>2964</v>
      </c>
      <c r="P37">
        <v>775</v>
      </c>
      <c r="Q37" s="2">
        <v>2174</v>
      </c>
      <c r="R37" s="2">
        <v>2846</v>
      </c>
      <c r="S37" s="2">
        <v>2534</v>
      </c>
      <c r="T37" s="2">
        <v>2586</v>
      </c>
      <c r="U37" s="2">
        <v>26991</v>
      </c>
      <c r="V37" s="2">
        <v>17913</v>
      </c>
      <c r="W37">
        <v>695</v>
      </c>
      <c r="X37">
        <v>66</v>
      </c>
      <c r="Y37" s="2">
        <v>3399</v>
      </c>
      <c r="Z37">
        <v>44</v>
      </c>
      <c r="AA37" s="2">
        <v>2070</v>
      </c>
      <c r="AB37" s="2">
        <v>2805</v>
      </c>
      <c r="AC37" s="2">
        <v>15345</v>
      </c>
      <c r="AD37" s="2">
        <v>6786</v>
      </c>
      <c r="AE37" t="s">
        <v>101</v>
      </c>
    </row>
    <row r="38" spans="1:31" x14ac:dyDescent="0.25">
      <c r="A38">
        <v>2023</v>
      </c>
      <c r="B38">
        <f>_xlfn.XLOOKUP(census_data[[#This Row],[Community Area]],'[1]Neighborhood Codes'!$B:$B,'[1]Neighborhood Codes'!$A:$A,"N/a")</f>
        <v>39</v>
      </c>
      <c r="C38" t="s">
        <v>102</v>
      </c>
      <c r="D38">
        <v>564</v>
      </c>
      <c r="E38">
        <v>296</v>
      </c>
      <c r="F38">
        <v>116</v>
      </c>
      <c r="G38">
        <v>646</v>
      </c>
      <c r="H38" s="2">
        <v>1254</v>
      </c>
      <c r="I38" s="2">
        <v>1502</v>
      </c>
      <c r="J38">
        <v>480</v>
      </c>
      <c r="K38" s="2">
        <v>1052</v>
      </c>
      <c r="L38" s="2">
        <v>1167</v>
      </c>
      <c r="M38" s="2">
        <v>1308</v>
      </c>
      <c r="N38" s="2">
        <v>1034</v>
      </c>
      <c r="O38" s="2">
        <v>1548</v>
      </c>
      <c r="P38">
        <v>450</v>
      </c>
      <c r="Q38" s="2">
        <v>1156</v>
      </c>
      <c r="R38" s="2">
        <v>1542</v>
      </c>
      <c r="S38" s="2">
        <v>1566</v>
      </c>
      <c r="T38" s="2">
        <v>1564</v>
      </c>
      <c r="U38" s="2">
        <v>14368</v>
      </c>
      <c r="V38" s="2">
        <v>2958</v>
      </c>
      <c r="W38" s="2">
        <v>9791</v>
      </c>
      <c r="X38">
        <v>18</v>
      </c>
      <c r="Y38">
        <v>697</v>
      </c>
      <c r="Z38">
        <v>4</v>
      </c>
      <c r="AA38">
        <v>124</v>
      </c>
      <c r="AB38">
        <v>775</v>
      </c>
      <c r="AC38" s="2">
        <v>2804</v>
      </c>
      <c r="AD38">
        <v>383</v>
      </c>
      <c r="AE38" t="s">
        <v>103</v>
      </c>
    </row>
    <row r="39" spans="1:31" x14ac:dyDescent="0.25">
      <c r="A39">
        <v>2023</v>
      </c>
      <c r="B39">
        <f>_xlfn.XLOOKUP(census_data[[#This Row],[Community Area]],'[1]Neighborhood Codes'!$B:$B,'[1]Neighborhood Codes'!$A:$A,"N/a")</f>
        <v>6</v>
      </c>
      <c r="C39" t="s">
        <v>104</v>
      </c>
      <c r="D39">
        <v>627</v>
      </c>
      <c r="E39">
        <v>661</v>
      </c>
      <c r="F39">
        <v>860</v>
      </c>
      <c r="G39" s="2">
        <v>1969</v>
      </c>
      <c r="H39" s="2">
        <v>10739</v>
      </c>
      <c r="I39" s="2">
        <v>5822</v>
      </c>
      <c r="J39" s="2">
        <v>5510</v>
      </c>
      <c r="K39" s="2">
        <v>16503</v>
      </c>
      <c r="L39" s="2">
        <v>9710</v>
      </c>
      <c r="M39" s="2">
        <v>5596</v>
      </c>
      <c r="N39" s="2">
        <v>3406</v>
      </c>
      <c r="O39" s="2">
        <v>5587</v>
      </c>
      <c r="P39" s="2">
        <v>6195</v>
      </c>
      <c r="Q39" s="2">
        <v>15126</v>
      </c>
      <c r="R39" s="2">
        <v>8311</v>
      </c>
      <c r="S39" s="2">
        <v>4827</v>
      </c>
      <c r="T39" s="2">
        <v>4058</v>
      </c>
      <c r="U39" s="2">
        <v>90652</v>
      </c>
      <c r="V39" s="2">
        <v>71631</v>
      </c>
      <c r="W39" s="2">
        <v>3913</v>
      </c>
      <c r="X39">
        <v>146</v>
      </c>
      <c r="Y39" s="2">
        <v>6386</v>
      </c>
      <c r="Z39">
        <v>88</v>
      </c>
      <c r="AA39" s="2">
        <v>2415</v>
      </c>
      <c r="AB39" s="2">
        <v>6073</v>
      </c>
      <c r="AC39" s="2">
        <v>67784</v>
      </c>
      <c r="AD39" s="2">
        <v>8979</v>
      </c>
      <c r="AE39" t="s">
        <v>105</v>
      </c>
    </row>
    <row r="40" spans="1:31" x14ac:dyDescent="0.25">
      <c r="A40">
        <v>2023</v>
      </c>
      <c r="B40">
        <f>_xlfn.XLOOKUP(census_data[[#This Row],[Community Area]],'[1]Neighborhood Codes'!$B:$B,'[1]Neighborhood Codes'!$A:$A,"N/a")</f>
        <v>7</v>
      </c>
      <c r="C40" t="s">
        <v>106</v>
      </c>
      <c r="D40">
        <v>309</v>
      </c>
      <c r="E40">
        <v>346</v>
      </c>
      <c r="F40">
        <v>381</v>
      </c>
      <c r="G40" s="2">
        <v>1224</v>
      </c>
      <c r="H40" s="2">
        <v>8892</v>
      </c>
      <c r="I40" s="2">
        <v>5078</v>
      </c>
      <c r="J40" s="2">
        <v>4436</v>
      </c>
      <c r="K40" s="2">
        <v>9024</v>
      </c>
      <c r="L40" s="2">
        <v>5351</v>
      </c>
      <c r="M40" s="2">
        <v>4012</v>
      </c>
      <c r="N40" s="2">
        <v>2907</v>
      </c>
      <c r="O40" s="2">
        <v>4564</v>
      </c>
      <c r="P40" s="2">
        <v>5376</v>
      </c>
      <c r="Q40" s="2">
        <v>9145</v>
      </c>
      <c r="R40" s="2">
        <v>5074</v>
      </c>
      <c r="S40" s="2">
        <v>4180</v>
      </c>
      <c r="T40" s="2">
        <v>2920</v>
      </c>
      <c r="U40" s="2">
        <v>62067</v>
      </c>
      <c r="V40" s="2">
        <v>50933</v>
      </c>
      <c r="W40" s="2">
        <v>2283</v>
      </c>
      <c r="X40">
        <v>25</v>
      </c>
      <c r="Y40" s="2">
        <v>4319</v>
      </c>
      <c r="Z40">
        <v>7</v>
      </c>
      <c r="AA40" s="2">
        <v>1261</v>
      </c>
      <c r="AB40" s="2">
        <v>3238</v>
      </c>
      <c r="AC40" s="2">
        <v>49078</v>
      </c>
      <c r="AD40" s="2">
        <v>4274</v>
      </c>
      <c r="AE40" t="s">
        <v>107</v>
      </c>
    </row>
    <row r="41" spans="1:31" x14ac:dyDescent="0.25">
      <c r="A41">
        <v>2023</v>
      </c>
      <c r="B41">
        <f>_xlfn.XLOOKUP(census_data[[#This Row],[Community Area]],'[1]Neighborhood Codes'!$B:$B,'[1]Neighborhood Codes'!$A:$A,"N/a")</f>
        <v>4</v>
      </c>
      <c r="C41" t="s">
        <v>108</v>
      </c>
      <c r="D41">
        <v>576</v>
      </c>
      <c r="E41" s="2">
        <v>1022</v>
      </c>
      <c r="F41" s="2">
        <v>1173</v>
      </c>
      <c r="G41" s="2">
        <v>2162</v>
      </c>
      <c r="H41" s="2">
        <v>4410</v>
      </c>
      <c r="I41" s="2">
        <v>3588</v>
      </c>
      <c r="J41" s="2">
        <v>1258</v>
      </c>
      <c r="K41" s="2">
        <v>4535</v>
      </c>
      <c r="L41" s="2">
        <v>5778</v>
      </c>
      <c r="M41" s="2">
        <v>3366</v>
      </c>
      <c r="N41" s="2">
        <v>1739</v>
      </c>
      <c r="O41" s="2">
        <v>3553</v>
      </c>
      <c r="P41" s="2">
        <v>1589</v>
      </c>
      <c r="Q41" s="2">
        <v>5379</v>
      </c>
      <c r="R41" s="2">
        <v>5576</v>
      </c>
      <c r="S41" s="2">
        <v>3357</v>
      </c>
      <c r="T41" s="2">
        <v>2462</v>
      </c>
      <c r="U41" s="2">
        <v>42180</v>
      </c>
      <c r="V41" s="2">
        <v>28731</v>
      </c>
      <c r="W41" s="2">
        <v>1623</v>
      </c>
      <c r="X41">
        <v>280</v>
      </c>
      <c r="Y41" s="2">
        <v>4345</v>
      </c>
      <c r="Z41">
        <v>0</v>
      </c>
      <c r="AA41" s="2">
        <v>2662</v>
      </c>
      <c r="AB41" s="2">
        <v>4539</v>
      </c>
      <c r="AC41" s="2">
        <v>25776</v>
      </c>
      <c r="AD41" s="2">
        <v>8311</v>
      </c>
      <c r="AE41" t="s">
        <v>109</v>
      </c>
    </row>
    <row r="42" spans="1:31" x14ac:dyDescent="0.25">
      <c r="A42">
        <v>2023</v>
      </c>
      <c r="B42">
        <f>_xlfn.XLOOKUP(census_data[[#This Row],[Community Area]],'[1]Neighborhood Codes'!$B:$B,'[1]Neighborhood Codes'!$A:$A,"N/a")</f>
        <v>22</v>
      </c>
      <c r="C42" t="s">
        <v>110</v>
      </c>
      <c r="D42" s="2">
        <v>1259</v>
      </c>
      <c r="E42" s="2">
        <v>1521</v>
      </c>
      <c r="F42" s="2">
        <v>1329</v>
      </c>
      <c r="G42" s="2">
        <v>2708</v>
      </c>
      <c r="H42" s="2">
        <v>7008</v>
      </c>
      <c r="I42" s="2">
        <v>5469</v>
      </c>
      <c r="J42" s="2">
        <v>2746</v>
      </c>
      <c r="K42" s="2">
        <v>11445</v>
      </c>
      <c r="L42" s="2">
        <v>9136</v>
      </c>
      <c r="M42" s="2">
        <v>3989</v>
      </c>
      <c r="N42" s="2">
        <v>2501</v>
      </c>
      <c r="O42" s="2">
        <v>6219</v>
      </c>
      <c r="P42" s="2">
        <v>3131</v>
      </c>
      <c r="Q42" s="2">
        <v>11399</v>
      </c>
      <c r="R42" s="2">
        <v>8192</v>
      </c>
      <c r="S42" s="2">
        <v>4007</v>
      </c>
      <c r="T42" s="2">
        <v>3121</v>
      </c>
      <c r="U42" s="2">
        <v>71354</v>
      </c>
      <c r="V42" s="2">
        <v>45894</v>
      </c>
      <c r="W42" s="2">
        <v>4355</v>
      </c>
      <c r="X42">
        <v>481</v>
      </c>
      <c r="Y42" s="2">
        <v>3344</v>
      </c>
      <c r="Z42">
        <v>78</v>
      </c>
      <c r="AA42" s="2">
        <v>5260</v>
      </c>
      <c r="AB42" s="2">
        <v>11942</v>
      </c>
      <c r="AC42" s="2">
        <v>36570</v>
      </c>
      <c r="AD42" s="2">
        <v>24808</v>
      </c>
      <c r="AE42" t="s">
        <v>111</v>
      </c>
    </row>
    <row r="43" spans="1:31" x14ac:dyDescent="0.25">
      <c r="A43">
        <v>2023</v>
      </c>
      <c r="B43">
        <f>_xlfn.XLOOKUP(census_data[[#This Row],[Community Area]],'[1]Neighborhood Codes'!$B:$B,'[1]Neighborhood Codes'!$A:$A,"N/a")</f>
        <v>32</v>
      </c>
      <c r="C43" t="s">
        <v>112</v>
      </c>
      <c r="D43">
        <v>138</v>
      </c>
      <c r="E43">
        <v>540</v>
      </c>
      <c r="F43">
        <v>305</v>
      </c>
      <c r="G43" s="2">
        <v>1122</v>
      </c>
      <c r="H43" s="2">
        <v>4777</v>
      </c>
      <c r="I43" s="2">
        <v>1145</v>
      </c>
      <c r="J43" s="2">
        <v>2179</v>
      </c>
      <c r="K43" s="2">
        <v>7741</v>
      </c>
      <c r="L43" s="2">
        <v>3986</v>
      </c>
      <c r="M43" s="2">
        <v>2394</v>
      </c>
      <c r="N43" s="2">
        <v>1583</v>
      </c>
      <c r="O43" s="2">
        <v>1223</v>
      </c>
      <c r="P43" s="2">
        <v>3843</v>
      </c>
      <c r="Q43" s="2">
        <v>6816</v>
      </c>
      <c r="R43" s="2">
        <v>2979</v>
      </c>
      <c r="S43" s="2">
        <v>2173</v>
      </c>
      <c r="T43" s="2">
        <v>2221</v>
      </c>
      <c r="U43" s="2">
        <v>38284</v>
      </c>
      <c r="V43" s="2">
        <v>22509</v>
      </c>
      <c r="W43" s="2">
        <v>3120</v>
      </c>
      <c r="X43">
        <v>367</v>
      </c>
      <c r="Y43" s="2">
        <v>8849</v>
      </c>
      <c r="Z43">
        <v>0</v>
      </c>
      <c r="AA43" s="2">
        <v>1016</v>
      </c>
      <c r="AB43" s="2">
        <v>2424</v>
      </c>
      <c r="AC43" s="2">
        <v>20573</v>
      </c>
      <c r="AD43" s="2">
        <v>4297</v>
      </c>
      <c r="AE43" t="s">
        <v>113</v>
      </c>
    </row>
    <row r="44" spans="1:31" x14ac:dyDescent="0.25">
      <c r="A44">
        <v>2023</v>
      </c>
      <c r="B44">
        <f>_xlfn.XLOOKUP(census_data[[#This Row],[Community Area]],'[1]Neighborhood Codes'!$B:$B,'[1]Neighborhood Codes'!$A:$A,"N/a")</f>
        <v>31</v>
      </c>
      <c r="C44" t="s">
        <v>114</v>
      </c>
      <c r="D44">
        <v>900</v>
      </c>
      <c r="E44" s="2">
        <v>1560</v>
      </c>
      <c r="F44" s="2">
        <v>1242</v>
      </c>
      <c r="G44" s="2">
        <v>1626</v>
      </c>
      <c r="H44" s="2">
        <v>1887</v>
      </c>
      <c r="I44" s="2">
        <v>3150</v>
      </c>
      <c r="J44" s="2">
        <v>1522</v>
      </c>
      <c r="K44" s="2">
        <v>4392</v>
      </c>
      <c r="L44" s="2">
        <v>3634</v>
      </c>
      <c r="M44" s="2">
        <v>2785</v>
      </c>
      <c r="N44" s="2">
        <v>1700</v>
      </c>
      <c r="O44" s="2">
        <v>2664</v>
      </c>
      <c r="P44" s="2">
        <v>1888</v>
      </c>
      <c r="Q44" s="2">
        <v>4253</v>
      </c>
      <c r="R44" s="2">
        <v>3611</v>
      </c>
      <c r="S44" s="2">
        <v>2461</v>
      </c>
      <c r="T44" s="2">
        <v>2118</v>
      </c>
      <c r="U44" s="2">
        <v>34177</v>
      </c>
      <c r="V44" s="2">
        <v>13332</v>
      </c>
      <c r="W44" s="2">
        <v>1118</v>
      </c>
      <c r="X44">
        <v>707</v>
      </c>
      <c r="Y44" s="2">
        <v>1430</v>
      </c>
      <c r="Z44">
        <v>0</v>
      </c>
      <c r="AA44" s="2">
        <v>11407</v>
      </c>
      <c r="AB44" s="2">
        <v>6182</v>
      </c>
      <c r="AC44" s="2">
        <v>7311</v>
      </c>
      <c r="AD44" s="2">
        <v>23679</v>
      </c>
      <c r="AE44" t="s">
        <v>115</v>
      </c>
    </row>
    <row r="45" spans="1:31" x14ac:dyDescent="0.25">
      <c r="A45">
        <v>2023</v>
      </c>
      <c r="B45">
        <f>_xlfn.XLOOKUP(census_data[[#This Row],[Community Area]],'[1]Neighborhood Codes'!$B:$B,'[1]Neighborhood Codes'!$A:$A,"N/a")</f>
        <v>59</v>
      </c>
      <c r="C45" t="s">
        <v>116</v>
      </c>
      <c r="D45">
        <v>320</v>
      </c>
      <c r="E45">
        <v>781</v>
      </c>
      <c r="F45">
        <v>699</v>
      </c>
      <c r="G45">
        <v>779</v>
      </c>
      <c r="H45" s="2">
        <v>1039</v>
      </c>
      <c r="I45" s="2">
        <v>1435</v>
      </c>
      <c r="J45">
        <v>762</v>
      </c>
      <c r="K45" s="2">
        <v>1301</v>
      </c>
      <c r="L45" s="2">
        <v>1596</v>
      </c>
      <c r="M45" s="2">
        <v>1828</v>
      </c>
      <c r="N45">
        <v>740</v>
      </c>
      <c r="O45" s="2">
        <v>1567</v>
      </c>
      <c r="P45">
        <v>661</v>
      </c>
      <c r="Q45" s="2">
        <v>1141</v>
      </c>
      <c r="R45" s="2">
        <v>1474</v>
      </c>
      <c r="S45" s="2">
        <v>1819</v>
      </c>
      <c r="T45" s="2">
        <v>1077</v>
      </c>
      <c r="U45" s="2">
        <v>15400</v>
      </c>
      <c r="V45" s="2">
        <v>5199</v>
      </c>
      <c r="W45">
        <v>339</v>
      </c>
      <c r="X45">
        <v>256</v>
      </c>
      <c r="Y45" s="2">
        <v>4282</v>
      </c>
      <c r="Z45">
        <v>0</v>
      </c>
      <c r="AA45" s="2">
        <v>3700</v>
      </c>
      <c r="AB45" s="2">
        <v>1625</v>
      </c>
      <c r="AC45" s="2">
        <v>2204</v>
      </c>
      <c r="AD45" s="2">
        <v>8474</v>
      </c>
      <c r="AE45" t="s">
        <v>117</v>
      </c>
    </row>
    <row r="46" spans="1:31" x14ac:dyDescent="0.25">
      <c r="A46">
        <v>2023</v>
      </c>
      <c r="B46">
        <f>_xlfn.XLOOKUP(census_data[[#This Row],[Community Area]],'[1]Neighborhood Codes'!$B:$B,'[1]Neighborhood Codes'!$A:$A,"N/a")</f>
        <v>18</v>
      </c>
      <c r="C46" t="s">
        <v>118</v>
      </c>
      <c r="D46">
        <v>312</v>
      </c>
      <c r="E46">
        <v>464</v>
      </c>
      <c r="F46">
        <v>510</v>
      </c>
      <c r="G46">
        <v>827</v>
      </c>
      <c r="H46" s="2">
        <v>1089</v>
      </c>
      <c r="I46" s="2">
        <v>1719</v>
      </c>
      <c r="J46">
        <v>529</v>
      </c>
      <c r="K46">
        <v>851</v>
      </c>
      <c r="L46" s="2">
        <v>1484</v>
      </c>
      <c r="M46" s="2">
        <v>1101</v>
      </c>
      <c r="N46" s="2">
        <v>1025</v>
      </c>
      <c r="O46" s="2">
        <v>1312</v>
      </c>
      <c r="P46">
        <v>498</v>
      </c>
      <c r="Q46">
        <v>791</v>
      </c>
      <c r="R46" s="2">
        <v>1419</v>
      </c>
      <c r="S46" s="2">
        <v>1663</v>
      </c>
      <c r="T46" s="2">
        <v>1363</v>
      </c>
      <c r="U46" s="2">
        <v>13755</v>
      </c>
      <c r="V46" s="2">
        <v>7066</v>
      </c>
      <c r="W46">
        <v>922</v>
      </c>
      <c r="X46">
        <v>72</v>
      </c>
      <c r="Y46">
        <v>446</v>
      </c>
      <c r="Z46">
        <v>0</v>
      </c>
      <c r="AA46" s="2">
        <v>3851</v>
      </c>
      <c r="AB46" s="2">
        <v>1398</v>
      </c>
      <c r="AC46" s="2">
        <v>4683</v>
      </c>
      <c r="AD46" s="2">
        <v>7515</v>
      </c>
      <c r="AE46" t="s">
        <v>119</v>
      </c>
    </row>
    <row r="47" spans="1:31" x14ac:dyDescent="0.25">
      <c r="A47">
        <v>2023</v>
      </c>
      <c r="B47">
        <f>_xlfn.XLOOKUP(census_data[[#This Row],[Community Area]],'[1]Neighborhood Codes'!$B:$B,'[1]Neighborhood Codes'!$A:$A,"N/a")</f>
        <v>75</v>
      </c>
      <c r="C47" t="s">
        <v>120</v>
      </c>
      <c r="D47">
        <v>759</v>
      </c>
      <c r="E47">
        <v>761</v>
      </c>
      <c r="F47">
        <v>571</v>
      </c>
      <c r="G47" s="2">
        <v>1180</v>
      </c>
      <c r="H47" s="2">
        <v>1767</v>
      </c>
      <c r="I47" s="2">
        <v>2608</v>
      </c>
      <c r="J47">
        <v>667</v>
      </c>
      <c r="K47" s="2">
        <v>1139</v>
      </c>
      <c r="L47" s="2">
        <v>1985</v>
      </c>
      <c r="M47" s="2">
        <v>1909</v>
      </c>
      <c r="N47" s="2">
        <v>1646</v>
      </c>
      <c r="O47" s="2">
        <v>2528</v>
      </c>
      <c r="P47">
        <v>386</v>
      </c>
      <c r="Q47" s="2">
        <v>1212</v>
      </c>
      <c r="R47" s="2">
        <v>2337</v>
      </c>
      <c r="S47" s="2">
        <v>2124</v>
      </c>
      <c r="T47" s="2">
        <v>2748</v>
      </c>
      <c r="U47" s="2">
        <v>21288</v>
      </c>
      <c r="V47" s="2">
        <v>6807</v>
      </c>
      <c r="W47" s="2">
        <v>12770</v>
      </c>
      <c r="X47">
        <v>53</v>
      </c>
      <c r="Y47">
        <v>211</v>
      </c>
      <c r="Z47">
        <v>0</v>
      </c>
      <c r="AA47">
        <v>335</v>
      </c>
      <c r="AB47" s="2">
        <v>1112</v>
      </c>
      <c r="AC47" s="2">
        <v>6485</v>
      </c>
      <c r="AD47">
        <v>981</v>
      </c>
      <c r="AE47" t="s">
        <v>121</v>
      </c>
    </row>
    <row r="48" spans="1:31" x14ac:dyDescent="0.25">
      <c r="A48">
        <v>2023</v>
      </c>
      <c r="B48">
        <f>_xlfn.XLOOKUP(census_data[[#This Row],[Community Area]],'[1]Neighborhood Codes'!$B:$B,'[1]Neighborhood Codes'!$A:$A,"N/a")</f>
        <v>74</v>
      </c>
      <c r="C48" t="s">
        <v>122</v>
      </c>
      <c r="D48">
        <v>158</v>
      </c>
      <c r="E48">
        <v>289</v>
      </c>
      <c r="F48">
        <v>270</v>
      </c>
      <c r="G48">
        <v>917</v>
      </c>
      <c r="H48" s="2">
        <v>2785</v>
      </c>
      <c r="I48" s="2">
        <v>2355</v>
      </c>
      <c r="J48" s="2">
        <v>1042</v>
      </c>
      <c r="K48">
        <v>933</v>
      </c>
      <c r="L48" s="2">
        <v>1931</v>
      </c>
      <c r="M48" s="2">
        <v>2268</v>
      </c>
      <c r="N48" s="2">
        <v>1018</v>
      </c>
      <c r="O48" s="2">
        <v>2521</v>
      </c>
      <c r="P48">
        <v>631</v>
      </c>
      <c r="Q48">
        <v>894</v>
      </c>
      <c r="R48" s="2">
        <v>2079</v>
      </c>
      <c r="S48" s="2">
        <v>1811</v>
      </c>
      <c r="T48" s="2">
        <v>1622</v>
      </c>
      <c r="U48" s="2">
        <v>19107</v>
      </c>
      <c r="V48" s="2">
        <v>17017</v>
      </c>
      <c r="W48">
        <v>344</v>
      </c>
      <c r="X48">
        <v>16</v>
      </c>
      <c r="Y48">
        <v>202</v>
      </c>
      <c r="Z48">
        <v>0</v>
      </c>
      <c r="AA48">
        <v>356</v>
      </c>
      <c r="AB48" s="2">
        <v>1172</v>
      </c>
      <c r="AC48" s="2">
        <v>16041</v>
      </c>
      <c r="AD48" s="2">
        <v>1834</v>
      </c>
      <c r="AE48" t="s">
        <v>123</v>
      </c>
    </row>
    <row r="49" spans="1:31" x14ac:dyDescent="0.25">
      <c r="A49">
        <v>2023</v>
      </c>
      <c r="B49">
        <f>_xlfn.XLOOKUP(census_data[[#This Row],[Community Area]],'[1]Neighborhood Codes'!$B:$B,'[1]Neighborhood Codes'!$A:$A,"N/a")</f>
        <v>8</v>
      </c>
      <c r="C49" t="s">
        <v>124</v>
      </c>
      <c r="D49">
        <v>847</v>
      </c>
      <c r="E49" s="2">
        <v>1032</v>
      </c>
      <c r="F49">
        <v>517</v>
      </c>
      <c r="G49" s="2">
        <v>1375</v>
      </c>
      <c r="H49" s="2">
        <v>12236</v>
      </c>
      <c r="I49" s="2">
        <v>3377</v>
      </c>
      <c r="J49" s="2">
        <v>4374</v>
      </c>
      <c r="K49" s="2">
        <v>15437</v>
      </c>
      <c r="L49" s="2">
        <v>7622</v>
      </c>
      <c r="M49" s="2">
        <v>7120</v>
      </c>
      <c r="N49" s="2">
        <v>6401</v>
      </c>
      <c r="O49" s="2">
        <v>2917</v>
      </c>
      <c r="P49" s="2">
        <v>5592</v>
      </c>
      <c r="Q49" s="2">
        <v>16019</v>
      </c>
      <c r="R49" s="2">
        <v>7509</v>
      </c>
      <c r="S49" s="2">
        <v>7289</v>
      </c>
      <c r="T49" s="2">
        <v>7978</v>
      </c>
      <c r="U49" s="2">
        <v>91635</v>
      </c>
      <c r="V49" s="2">
        <v>64903</v>
      </c>
      <c r="W49" s="2">
        <v>6434</v>
      </c>
      <c r="X49">
        <v>492</v>
      </c>
      <c r="Y49" s="2">
        <v>12354</v>
      </c>
      <c r="Z49">
        <v>8</v>
      </c>
      <c r="AA49" s="2">
        <v>1855</v>
      </c>
      <c r="AB49" s="2">
        <v>5590</v>
      </c>
      <c r="AC49" s="2">
        <v>62702</v>
      </c>
      <c r="AD49" s="2">
        <v>6664</v>
      </c>
      <c r="AE49" t="s">
        <v>125</v>
      </c>
    </row>
    <row r="50" spans="1:31" x14ac:dyDescent="0.25">
      <c r="A50">
        <v>2023</v>
      </c>
      <c r="B50">
        <f>_xlfn.XLOOKUP(census_data[[#This Row],[Community Area]],'[1]Neighborhood Codes'!$B:$B,'[1]Neighborhood Codes'!$A:$A,"N/a")</f>
        <v>33</v>
      </c>
      <c r="C50" t="s">
        <v>126</v>
      </c>
      <c r="D50">
        <v>447</v>
      </c>
      <c r="E50">
        <v>180</v>
      </c>
      <c r="F50">
        <v>235</v>
      </c>
      <c r="G50">
        <v>401</v>
      </c>
      <c r="H50" s="2">
        <v>4452</v>
      </c>
      <c r="I50" s="2">
        <v>1752</v>
      </c>
      <c r="J50">
        <v>633</v>
      </c>
      <c r="K50" s="2">
        <v>3425</v>
      </c>
      <c r="L50" s="2">
        <v>3566</v>
      </c>
      <c r="M50" s="2">
        <v>2341</v>
      </c>
      <c r="N50" s="2">
        <v>1128</v>
      </c>
      <c r="O50" s="2">
        <v>1662</v>
      </c>
      <c r="P50">
        <v>330</v>
      </c>
      <c r="Q50" s="2">
        <v>4305</v>
      </c>
      <c r="R50" s="2">
        <v>2893</v>
      </c>
      <c r="S50" s="2">
        <v>2275</v>
      </c>
      <c r="T50" s="2">
        <v>1998</v>
      </c>
      <c r="U50" s="2">
        <v>26307</v>
      </c>
      <c r="V50" s="2">
        <v>14113</v>
      </c>
      <c r="W50" s="2">
        <v>6588</v>
      </c>
      <c r="X50">
        <v>57</v>
      </c>
      <c r="Y50" s="2">
        <v>3830</v>
      </c>
      <c r="Z50">
        <v>0</v>
      </c>
      <c r="AA50">
        <v>329</v>
      </c>
      <c r="AB50" s="2">
        <v>1390</v>
      </c>
      <c r="AC50" s="2">
        <v>13320</v>
      </c>
      <c r="AD50" s="2">
        <v>1334</v>
      </c>
      <c r="AE50" t="s">
        <v>127</v>
      </c>
    </row>
    <row r="51" spans="1:31" x14ac:dyDescent="0.25">
      <c r="A51">
        <v>2023</v>
      </c>
      <c r="B51">
        <f>_xlfn.XLOOKUP(census_data[[#This Row],[Community Area]],'[1]Neighborhood Codes'!$B:$B,'[1]Neighborhood Codes'!$A:$A,"N/a")</f>
        <v>28</v>
      </c>
      <c r="C51" t="s">
        <v>128</v>
      </c>
      <c r="D51" s="2">
        <v>1532</v>
      </c>
      <c r="E51" s="2">
        <v>1460</v>
      </c>
      <c r="F51">
        <v>814</v>
      </c>
      <c r="G51" s="2">
        <v>1625</v>
      </c>
      <c r="H51" s="2">
        <v>6517</v>
      </c>
      <c r="I51" s="2">
        <v>4919</v>
      </c>
      <c r="J51" s="2">
        <v>4219</v>
      </c>
      <c r="K51" s="2">
        <v>10357</v>
      </c>
      <c r="L51" s="2">
        <v>7348</v>
      </c>
      <c r="M51" s="2">
        <v>3601</v>
      </c>
      <c r="N51" s="2">
        <v>1701</v>
      </c>
      <c r="O51" s="2">
        <v>4144</v>
      </c>
      <c r="P51" s="2">
        <v>4777</v>
      </c>
      <c r="Q51" s="2">
        <v>10374</v>
      </c>
      <c r="R51" s="2">
        <v>7342</v>
      </c>
      <c r="S51" s="2">
        <v>3979</v>
      </c>
      <c r="T51" s="2">
        <v>2610</v>
      </c>
      <c r="U51" s="2">
        <v>65370</v>
      </c>
      <c r="V51" s="2">
        <v>30838</v>
      </c>
      <c r="W51" s="2">
        <v>16099</v>
      </c>
      <c r="X51">
        <v>119</v>
      </c>
      <c r="Y51" s="2">
        <v>11600</v>
      </c>
      <c r="Z51">
        <v>88</v>
      </c>
      <c r="AA51" s="2">
        <v>2322</v>
      </c>
      <c r="AB51" s="2">
        <v>4304</v>
      </c>
      <c r="AC51" s="2">
        <v>28282</v>
      </c>
      <c r="AD51" s="2">
        <v>6779</v>
      </c>
      <c r="AE51" t="s">
        <v>129</v>
      </c>
    </row>
    <row r="52" spans="1:31" x14ac:dyDescent="0.25">
      <c r="A52">
        <v>2023</v>
      </c>
      <c r="B52">
        <f>_xlfn.XLOOKUP(census_data[[#This Row],[Community Area]],'[1]Neighborhood Codes'!$B:$B,'[1]Neighborhood Codes'!$A:$A,"N/a")</f>
        <v>61</v>
      </c>
      <c r="C52" t="s">
        <v>130</v>
      </c>
      <c r="D52" s="2">
        <v>2266</v>
      </c>
      <c r="E52" s="2">
        <v>2142</v>
      </c>
      <c r="F52" s="2">
        <v>1432</v>
      </c>
      <c r="G52" s="2">
        <v>1622</v>
      </c>
      <c r="H52" s="2">
        <v>1440</v>
      </c>
      <c r="I52" s="2">
        <v>5713</v>
      </c>
      <c r="J52" s="2">
        <v>2336</v>
      </c>
      <c r="K52" s="2">
        <v>2272</v>
      </c>
      <c r="L52" s="2">
        <v>4591</v>
      </c>
      <c r="M52" s="2">
        <v>3231</v>
      </c>
      <c r="N52" s="2">
        <v>2477</v>
      </c>
      <c r="O52" s="2">
        <v>5182</v>
      </c>
      <c r="P52" s="2">
        <v>2083</v>
      </c>
      <c r="Q52" s="2">
        <v>3095</v>
      </c>
      <c r="R52" s="2">
        <v>4415</v>
      </c>
      <c r="S52" s="2">
        <v>2873</v>
      </c>
      <c r="T52" s="2">
        <v>2576</v>
      </c>
      <c r="U52" s="2">
        <v>40843</v>
      </c>
      <c r="V52" s="2">
        <v>12557</v>
      </c>
      <c r="W52" s="2">
        <v>8446</v>
      </c>
      <c r="X52">
        <v>524</v>
      </c>
      <c r="Y52">
        <v>991</v>
      </c>
      <c r="Z52">
        <v>29</v>
      </c>
      <c r="AA52" s="2">
        <v>13273</v>
      </c>
      <c r="AB52" s="2">
        <v>5024</v>
      </c>
      <c r="AC52" s="2">
        <v>4036</v>
      </c>
      <c r="AD52" s="2">
        <v>27311</v>
      </c>
      <c r="AE52" t="s">
        <v>131</v>
      </c>
    </row>
    <row r="53" spans="1:31" x14ac:dyDescent="0.25">
      <c r="A53">
        <v>2023</v>
      </c>
      <c r="B53">
        <f>_xlfn.XLOOKUP(census_data[[#This Row],[Community Area]],'[1]Neighborhood Codes'!$B:$B,'[1]Neighborhood Codes'!$A:$A,"N/a")</f>
        <v>5</v>
      </c>
      <c r="C53" t="s">
        <v>132</v>
      </c>
      <c r="D53">
        <v>355</v>
      </c>
      <c r="E53">
        <v>271</v>
      </c>
      <c r="F53">
        <v>378</v>
      </c>
      <c r="G53" s="2">
        <v>1019</v>
      </c>
      <c r="H53" s="2">
        <v>6575</v>
      </c>
      <c r="I53" s="2">
        <v>4873</v>
      </c>
      <c r="J53">
        <v>673</v>
      </c>
      <c r="K53" s="2">
        <v>3400</v>
      </c>
      <c r="L53" s="2">
        <v>5310</v>
      </c>
      <c r="M53" s="2">
        <v>2578</v>
      </c>
      <c r="N53" s="2">
        <v>1093</v>
      </c>
      <c r="O53" s="2">
        <v>4495</v>
      </c>
      <c r="P53">
        <v>707</v>
      </c>
      <c r="Q53" s="2">
        <v>3913</v>
      </c>
      <c r="R53" s="2">
        <v>4913</v>
      </c>
      <c r="S53" s="2">
        <v>2253</v>
      </c>
      <c r="T53" s="2">
        <v>1574</v>
      </c>
      <c r="U53" s="2">
        <v>35782</v>
      </c>
      <c r="V53" s="2">
        <v>28092</v>
      </c>
      <c r="W53">
        <v>906</v>
      </c>
      <c r="X53">
        <v>17</v>
      </c>
      <c r="Y53" s="2">
        <v>2264</v>
      </c>
      <c r="Z53">
        <v>22</v>
      </c>
      <c r="AA53" s="2">
        <v>1063</v>
      </c>
      <c r="AB53" s="2">
        <v>3418</v>
      </c>
      <c r="AC53" s="2">
        <v>26136</v>
      </c>
      <c r="AD53" s="2">
        <v>4516</v>
      </c>
      <c r="AE53" t="s">
        <v>133</v>
      </c>
    </row>
    <row r="54" spans="1:31" x14ac:dyDescent="0.25">
      <c r="A54">
        <v>2023</v>
      </c>
      <c r="B54">
        <f>_xlfn.XLOOKUP(census_data[[#This Row],[Community Area]],'[1]Neighborhood Codes'!$B:$B,'[1]Neighborhood Codes'!$A:$A,"N/a")</f>
        <v>29</v>
      </c>
      <c r="C54" t="s">
        <v>134</v>
      </c>
      <c r="D54" s="2">
        <v>1772</v>
      </c>
      <c r="E54" s="2">
        <v>1538</v>
      </c>
      <c r="F54" s="2">
        <v>1171</v>
      </c>
      <c r="G54" s="2">
        <v>1454</v>
      </c>
      <c r="H54">
        <v>613</v>
      </c>
      <c r="I54" s="2">
        <v>4003</v>
      </c>
      <c r="J54" s="2">
        <v>1654</v>
      </c>
      <c r="K54" s="2">
        <v>2029</v>
      </c>
      <c r="L54" s="2">
        <v>2415</v>
      </c>
      <c r="M54" s="2">
        <v>1900</v>
      </c>
      <c r="N54" s="2">
        <v>1477</v>
      </c>
      <c r="O54" s="2">
        <v>3851</v>
      </c>
      <c r="P54" s="2">
        <v>1250</v>
      </c>
      <c r="Q54" s="2">
        <v>2711</v>
      </c>
      <c r="R54" s="2">
        <v>3627</v>
      </c>
      <c r="S54" s="2">
        <v>3188</v>
      </c>
      <c r="T54" s="2">
        <v>2251</v>
      </c>
      <c r="U54" s="2">
        <v>30355</v>
      </c>
      <c r="V54" s="2">
        <v>2545</v>
      </c>
      <c r="W54" s="2">
        <v>24036</v>
      </c>
      <c r="X54">
        <v>155</v>
      </c>
      <c r="Y54">
        <v>59</v>
      </c>
      <c r="Z54">
        <v>0</v>
      </c>
      <c r="AA54" s="2">
        <v>2363</v>
      </c>
      <c r="AB54" s="2">
        <v>1196</v>
      </c>
      <c r="AC54" s="2">
        <v>1614</v>
      </c>
      <c r="AD54" s="2">
        <v>4413</v>
      </c>
      <c r="AE54" t="s">
        <v>135</v>
      </c>
    </row>
    <row r="55" spans="1:31" x14ac:dyDescent="0.25">
      <c r="A55">
        <v>2023</v>
      </c>
      <c r="B55">
        <f>_xlfn.XLOOKUP(census_data[[#This Row],[Community Area]],'[1]Neighborhood Codes'!$B:$B,'[1]Neighborhood Codes'!$A:$A,"N/a")</f>
        <v>13</v>
      </c>
      <c r="C55" t="s">
        <v>136</v>
      </c>
      <c r="D55">
        <v>391</v>
      </c>
      <c r="E55">
        <v>835</v>
      </c>
      <c r="F55">
        <v>583</v>
      </c>
      <c r="G55" s="2">
        <v>1105</v>
      </c>
      <c r="H55" s="2">
        <v>1390</v>
      </c>
      <c r="I55" s="2">
        <v>1786</v>
      </c>
      <c r="J55">
        <v>740</v>
      </c>
      <c r="K55" s="2">
        <v>1243</v>
      </c>
      <c r="L55" s="2">
        <v>1815</v>
      </c>
      <c r="M55" s="2">
        <v>1591</v>
      </c>
      <c r="N55" s="2">
        <v>1419</v>
      </c>
      <c r="O55" s="2">
        <v>2570</v>
      </c>
      <c r="P55">
        <v>943</v>
      </c>
      <c r="Q55" s="2">
        <v>1377</v>
      </c>
      <c r="R55" s="2">
        <v>1781</v>
      </c>
      <c r="S55" s="2">
        <v>1854</v>
      </c>
      <c r="T55" s="2">
        <v>2139</v>
      </c>
      <c r="U55" s="2">
        <v>19259</v>
      </c>
      <c r="V55" s="2">
        <v>10185</v>
      </c>
      <c r="W55">
        <v>532</v>
      </c>
      <c r="X55">
        <v>153</v>
      </c>
      <c r="Y55" s="2">
        <v>6058</v>
      </c>
      <c r="Z55">
        <v>0</v>
      </c>
      <c r="AA55">
        <v>904</v>
      </c>
      <c r="AB55" s="2">
        <v>1426</v>
      </c>
      <c r="AC55" s="2">
        <v>8578</v>
      </c>
      <c r="AD55" s="2">
        <v>3398</v>
      </c>
      <c r="AE55" t="s">
        <v>137</v>
      </c>
    </row>
    <row r="56" spans="1:31" x14ac:dyDescent="0.25">
      <c r="A56">
        <v>2023</v>
      </c>
      <c r="B56">
        <f>_xlfn.XLOOKUP(census_data[[#This Row],[Community Area]],'[1]Neighborhood Codes'!$B:$B,'[1]Neighborhood Codes'!$A:$A,"N/a")</f>
        <v>10</v>
      </c>
      <c r="C56" t="s">
        <v>138</v>
      </c>
      <c r="D56">
        <v>771</v>
      </c>
      <c r="E56">
        <v>972</v>
      </c>
      <c r="F56" s="2">
        <v>1140</v>
      </c>
      <c r="G56" s="2">
        <v>2459</v>
      </c>
      <c r="H56" s="2">
        <v>5263</v>
      </c>
      <c r="I56" s="2">
        <v>5002</v>
      </c>
      <c r="J56" s="2">
        <v>1192</v>
      </c>
      <c r="K56" s="2">
        <v>2457</v>
      </c>
      <c r="L56" s="2">
        <v>4154</v>
      </c>
      <c r="M56" s="2">
        <v>3711</v>
      </c>
      <c r="N56" s="2">
        <v>2981</v>
      </c>
      <c r="O56" s="2">
        <v>4302</v>
      </c>
      <c r="P56" s="2">
        <v>1067</v>
      </c>
      <c r="Q56" s="2">
        <v>1804</v>
      </c>
      <c r="R56" s="2">
        <v>4531</v>
      </c>
      <c r="S56" s="2">
        <v>3903</v>
      </c>
      <c r="T56" s="2">
        <v>4970</v>
      </c>
      <c r="U56" s="2">
        <v>40074</v>
      </c>
      <c r="V56" s="2">
        <v>31029</v>
      </c>
      <c r="W56">
        <v>515</v>
      </c>
      <c r="X56">
        <v>144</v>
      </c>
      <c r="Y56" s="2">
        <v>2809</v>
      </c>
      <c r="Z56">
        <v>0</v>
      </c>
      <c r="AA56" s="2">
        <v>1759</v>
      </c>
      <c r="AB56" s="2">
        <v>3819</v>
      </c>
      <c r="AC56" s="2">
        <v>27986</v>
      </c>
      <c r="AD56" s="2">
        <v>7802</v>
      </c>
      <c r="AE56" t="s">
        <v>139</v>
      </c>
    </row>
    <row r="57" spans="1:31" x14ac:dyDescent="0.25">
      <c r="A57">
        <v>2023</v>
      </c>
      <c r="B57">
        <f>_xlfn.XLOOKUP(census_data[[#This Row],[Community Area]],'[1]Neighborhood Codes'!$B:$B,'[1]Neighborhood Codes'!$A:$A,"N/a")</f>
        <v>36</v>
      </c>
      <c r="C57" t="s">
        <v>140</v>
      </c>
      <c r="D57">
        <v>361</v>
      </c>
      <c r="E57">
        <v>228</v>
      </c>
      <c r="F57">
        <v>144</v>
      </c>
      <c r="G57">
        <v>125</v>
      </c>
      <c r="H57">
        <v>182</v>
      </c>
      <c r="I57">
        <v>772</v>
      </c>
      <c r="J57">
        <v>104</v>
      </c>
      <c r="K57">
        <v>185</v>
      </c>
      <c r="L57">
        <v>236</v>
      </c>
      <c r="M57">
        <v>236</v>
      </c>
      <c r="N57">
        <v>142</v>
      </c>
      <c r="O57">
        <v>565</v>
      </c>
      <c r="P57">
        <v>211</v>
      </c>
      <c r="Q57">
        <v>351</v>
      </c>
      <c r="R57">
        <v>591</v>
      </c>
      <c r="S57">
        <v>564</v>
      </c>
      <c r="T57">
        <v>414</v>
      </c>
      <c r="U57" s="2">
        <v>4373</v>
      </c>
      <c r="V57">
        <v>159</v>
      </c>
      <c r="W57" s="2">
        <v>3946</v>
      </c>
      <c r="X57">
        <v>59</v>
      </c>
      <c r="Y57">
        <v>51</v>
      </c>
      <c r="Z57">
        <v>0</v>
      </c>
      <c r="AA57">
        <v>14</v>
      </c>
      <c r="AB57">
        <v>143</v>
      </c>
      <c r="AC57">
        <v>155</v>
      </c>
      <c r="AD57">
        <v>131</v>
      </c>
      <c r="AE57" t="s">
        <v>141</v>
      </c>
    </row>
    <row r="58" spans="1:31" x14ac:dyDescent="0.25">
      <c r="A58">
        <v>2023</v>
      </c>
      <c r="B58" t="str">
        <f>_xlfn.XLOOKUP(census_data[[#This Row],[Community Area]],'[1]Neighborhood Codes'!$B:$B,'[1]Neighborhood Codes'!$A:$A,"N/a")</f>
        <v>N/a</v>
      </c>
      <c r="C58" t="s">
        <v>142</v>
      </c>
      <c r="D58">
        <v>321</v>
      </c>
      <c r="E58">
        <v>650</v>
      </c>
      <c r="F58" s="2">
        <v>1052</v>
      </c>
      <c r="G58" s="2">
        <v>1083</v>
      </c>
      <c r="H58" s="2">
        <v>1155</v>
      </c>
      <c r="I58" s="2">
        <v>1304</v>
      </c>
      <c r="J58">
        <v>601</v>
      </c>
      <c r="K58" s="2">
        <v>2010</v>
      </c>
      <c r="L58" s="2">
        <v>1852</v>
      </c>
      <c r="M58" s="2">
        <v>1799</v>
      </c>
      <c r="N58" s="2">
        <v>1060</v>
      </c>
      <c r="O58" s="2">
        <v>1565</v>
      </c>
      <c r="P58">
        <v>581</v>
      </c>
      <c r="Q58" s="2">
        <v>1576</v>
      </c>
      <c r="R58" s="2">
        <v>1516</v>
      </c>
      <c r="S58" s="2">
        <v>1249</v>
      </c>
      <c r="T58" s="2">
        <v>1167</v>
      </c>
      <c r="U58" s="2">
        <v>16281</v>
      </c>
      <c r="V58" s="2">
        <v>10624</v>
      </c>
      <c r="W58" s="2">
        <v>1079</v>
      </c>
      <c r="X58">
        <v>55</v>
      </c>
      <c r="Y58" s="2">
        <v>2237</v>
      </c>
      <c r="Z58">
        <v>0</v>
      </c>
      <c r="AA58" s="2">
        <v>1110</v>
      </c>
      <c r="AB58" s="2">
        <v>1176</v>
      </c>
      <c r="AC58" s="2">
        <v>9418</v>
      </c>
      <c r="AD58" s="2">
        <v>3013</v>
      </c>
      <c r="AE58" t="s">
        <v>143</v>
      </c>
    </row>
    <row r="59" spans="1:31" x14ac:dyDescent="0.25">
      <c r="A59">
        <v>2023</v>
      </c>
      <c r="B59">
        <f>_xlfn.XLOOKUP(census_data[[#This Row],[Community Area]],'[1]Neighborhood Codes'!$B:$B,'[1]Neighborhood Codes'!$A:$A,"N/a")</f>
        <v>15</v>
      </c>
      <c r="C59" t="s">
        <v>144</v>
      </c>
      <c r="D59">
        <v>909</v>
      </c>
      <c r="E59" s="2">
        <v>2483</v>
      </c>
      <c r="F59" s="2">
        <v>1926</v>
      </c>
      <c r="G59" s="2">
        <v>4182</v>
      </c>
      <c r="H59" s="2">
        <v>5814</v>
      </c>
      <c r="I59" s="2">
        <v>6444</v>
      </c>
      <c r="J59" s="2">
        <v>3095</v>
      </c>
      <c r="K59" s="2">
        <v>4545</v>
      </c>
      <c r="L59" s="2">
        <v>7429</v>
      </c>
      <c r="M59" s="2">
        <v>6435</v>
      </c>
      <c r="N59" s="2">
        <v>3858</v>
      </c>
      <c r="O59" s="2">
        <v>6611</v>
      </c>
      <c r="P59" s="2">
        <v>2738</v>
      </c>
      <c r="Q59" s="2">
        <v>4146</v>
      </c>
      <c r="R59" s="2">
        <v>7124</v>
      </c>
      <c r="S59" s="2">
        <v>6704</v>
      </c>
      <c r="T59" s="2">
        <v>5072</v>
      </c>
      <c r="U59" s="2">
        <v>64201</v>
      </c>
      <c r="V59" s="2">
        <v>38249</v>
      </c>
      <c r="W59" s="2">
        <v>1171</v>
      </c>
      <c r="X59" s="2">
        <v>1026</v>
      </c>
      <c r="Y59" s="2">
        <v>3935</v>
      </c>
      <c r="Z59">
        <v>9</v>
      </c>
      <c r="AA59" s="2">
        <v>12068</v>
      </c>
      <c r="AB59" s="2">
        <v>7743</v>
      </c>
      <c r="AC59" s="2">
        <v>29957</v>
      </c>
      <c r="AD59" s="2">
        <v>27520</v>
      </c>
      <c r="AE59" t="s">
        <v>145</v>
      </c>
    </row>
    <row r="60" spans="1:31" x14ac:dyDescent="0.25">
      <c r="A60">
        <v>2023</v>
      </c>
      <c r="B60">
        <f>_xlfn.XLOOKUP(census_data[[#This Row],[Community Area]],'[1]Neighborhood Codes'!$B:$B,'[1]Neighborhood Codes'!$A:$A,"N/a")</f>
        <v>50</v>
      </c>
      <c r="C60" t="s">
        <v>146</v>
      </c>
      <c r="D60">
        <v>287</v>
      </c>
      <c r="E60">
        <v>308</v>
      </c>
      <c r="F60">
        <v>346</v>
      </c>
      <c r="G60">
        <v>478</v>
      </c>
      <c r="H60">
        <v>226</v>
      </c>
      <c r="I60">
        <v>391</v>
      </c>
      <c r="J60">
        <v>221</v>
      </c>
      <c r="K60">
        <v>516</v>
      </c>
      <c r="L60">
        <v>704</v>
      </c>
      <c r="M60">
        <v>503</v>
      </c>
      <c r="N60">
        <v>329</v>
      </c>
      <c r="O60">
        <v>843</v>
      </c>
      <c r="P60">
        <v>211</v>
      </c>
      <c r="Q60">
        <v>474</v>
      </c>
      <c r="R60">
        <v>807</v>
      </c>
      <c r="S60">
        <v>999</v>
      </c>
      <c r="T60">
        <v>855</v>
      </c>
      <c r="U60" s="2">
        <v>6851</v>
      </c>
      <c r="V60" s="2">
        <v>1123</v>
      </c>
      <c r="W60" s="2">
        <v>5293</v>
      </c>
      <c r="X60">
        <v>0</v>
      </c>
      <c r="Y60">
        <v>5</v>
      </c>
      <c r="Z60">
        <v>0</v>
      </c>
      <c r="AA60">
        <v>244</v>
      </c>
      <c r="AB60">
        <v>186</v>
      </c>
      <c r="AC60">
        <v>848</v>
      </c>
      <c r="AD60">
        <v>559</v>
      </c>
      <c r="AE60" t="s">
        <v>147</v>
      </c>
    </row>
    <row r="61" spans="1:31" x14ac:dyDescent="0.25">
      <c r="A61">
        <v>2023</v>
      </c>
      <c r="B61">
        <f>_xlfn.XLOOKUP(census_data[[#This Row],[Community Area]],'[1]Neighborhood Codes'!$B:$B,'[1]Neighborhood Codes'!$A:$A,"N/a")</f>
        <v>54</v>
      </c>
      <c r="C61" t="s">
        <v>148</v>
      </c>
      <c r="D61">
        <v>965</v>
      </c>
      <c r="E61">
        <v>494</v>
      </c>
      <c r="F61">
        <v>195</v>
      </c>
      <c r="G61">
        <v>164</v>
      </c>
      <c r="H61">
        <v>47</v>
      </c>
      <c r="I61" s="2">
        <v>1270</v>
      </c>
      <c r="J61">
        <v>303</v>
      </c>
      <c r="K61">
        <v>508</v>
      </c>
      <c r="L61">
        <v>256</v>
      </c>
      <c r="M61">
        <v>321</v>
      </c>
      <c r="N61">
        <v>137</v>
      </c>
      <c r="O61" s="2">
        <v>1815</v>
      </c>
      <c r="P61">
        <v>626</v>
      </c>
      <c r="Q61">
        <v>908</v>
      </c>
      <c r="R61">
        <v>768</v>
      </c>
      <c r="S61">
        <v>538</v>
      </c>
      <c r="T61">
        <v>290</v>
      </c>
      <c r="U61" s="2">
        <v>7740</v>
      </c>
      <c r="V61">
        <v>181</v>
      </c>
      <c r="W61" s="2">
        <v>7365</v>
      </c>
      <c r="X61">
        <v>17</v>
      </c>
      <c r="Y61">
        <v>0</v>
      </c>
      <c r="Z61">
        <v>0</v>
      </c>
      <c r="AA61">
        <v>32</v>
      </c>
      <c r="AB61">
        <v>145</v>
      </c>
      <c r="AC61">
        <v>18</v>
      </c>
      <c r="AD61">
        <v>252</v>
      </c>
      <c r="AE61" t="s">
        <v>149</v>
      </c>
    </row>
    <row r="62" spans="1:31" x14ac:dyDescent="0.25">
      <c r="A62">
        <v>2023</v>
      </c>
      <c r="B62">
        <f>_xlfn.XLOOKUP(census_data[[#This Row],[Community Area]],'[1]Neighborhood Codes'!$B:$B,'[1]Neighborhood Codes'!$A:$A,"N/a")</f>
        <v>1</v>
      </c>
      <c r="C62" t="s">
        <v>150</v>
      </c>
      <c r="D62" s="2">
        <v>1038</v>
      </c>
      <c r="E62" s="2">
        <v>1986</v>
      </c>
      <c r="F62" s="2">
        <v>1477</v>
      </c>
      <c r="G62" s="2">
        <v>2460</v>
      </c>
      <c r="H62" s="2">
        <v>2802</v>
      </c>
      <c r="I62" s="2">
        <v>4392</v>
      </c>
      <c r="J62" s="2">
        <v>2431</v>
      </c>
      <c r="K62" s="2">
        <v>4440</v>
      </c>
      <c r="L62" s="2">
        <v>6095</v>
      </c>
      <c r="M62" s="2">
        <v>5495</v>
      </c>
      <c r="N62" s="2">
        <v>2837</v>
      </c>
      <c r="O62" s="2">
        <v>4879</v>
      </c>
      <c r="P62" s="2">
        <v>4537</v>
      </c>
      <c r="Q62" s="2">
        <v>5128</v>
      </c>
      <c r="R62" s="2">
        <v>5772</v>
      </c>
      <c r="S62" s="2">
        <v>4080</v>
      </c>
      <c r="T62" s="2">
        <v>3081</v>
      </c>
      <c r="U62" s="2">
        <v>53169</v>
      </c>
      <c r="V62" s="2">
        <v>25129</v>
      </c>
      <c r="W62" s="2">
        <v>13602</v>
      </c>
      <c r="X62">
        <v>459</v>
      </c>
      <c r="Y62" s="2">
        <v>2750</v>
      </c>
      <c r="Z62">
        <v>0</v>
      </c>
      <c r="AA62" s="2">
        <v>5278</v>
      </c>
      <c r="AB62" s="2">
        <v>5951</v>
      </c>
      <c r="AC62" s="2">
        <v>23158</v>
      </c>
      <c r="AD62" s="2">
        <v>10599</v>
      </c>
      <c r="AE62" t="s">
        <v>151</v>
      </c>
    </row>
    <row r="63" spans="1:31" x14ac:dyDescent="0.25">
      <c r="A63">
        <v>2023</v>
      </c>
      <c r="B63">
        <f>_xlfn.XLOOKUP(census_data[[#This Row],[Community Area]],'[1]Neighborhood Codes'!$B:$B,'[1]Neighborhood Codes'!$A:$A,"N/a")</f>
        <v>49</v>
      </c>
      <c r="C63" t="s">
        <v>152</v>
      </c>
      <c r="D63" s="2">
        <v>1535</v>
      </c>
      <c r="E63" s="2">
        <v>2186</v>
      </c>
      <c r="F63" s="2">
        <v>1379</v>
      </c>
      <c r="G63" s="2">
        <v>2244</v>
      </c>
      <c r="H63" s="2">
        <v>1160</v>
      </c>
      <c r="I63" s="2">
        <v>4122</v>
      </c>
      <c r="J63" s="2">
        <v>1642</v>
      </c>
      <c r="K63" s="2">
        <v>2695</v>
      </c>
      <c r="L63" s="2">
        <v>2863</v>
      </c>
      <c r="M63" s="2">
        <v>3657</v>
      </c>
      <c r="N63" s="2">
        <v>2471</v>
      </c>
      <c r="O63" s="2">
        <v>3871</v>
      </c>
      <c r="P63" s="2">
        <v>1535</v>
      </c>
      <c r="Q63" s="2">
        <v>2622</v>
      </c>
      <c r="R63" s="2">
        <v>3139</v>
      </c>
      <c r="S63" s="2">
        <v>4872</v>
      </c>
      <c r="T63" s="2">
        <v>4172</v>
      </c>
      <c r="U63" s="2">
        <v>37660</v>
      </c>
      <c r="V63">
        <v>668</v>
      </c>
      <c r="W63" s="2">
        <v>35905</v>
      </c>
      <c r="X63">
        <v>56</v>
      </c>
      <c r="Y63">
        <v>85</v>
      </c>
      <c r="Z63">
        <v>0</v>
      </c>
      <c r="AA63">
        <v>209</v>
      </c>
      <c r="AB63">
        <v>738</v>
      </c>
      <c r="AC63">
        <v>529</v>
      </c>
      <c r="AD63">
        <v>700</v>
      </c>
      <c r="AE63" t="s">
        <v>153</v>
      </c>
    </row>
    <row r="64" spans="1:31" x14ac:dyDescent="0.25">
      <c r="A64">
        <v>2023</v>
      </c>
      <c r="B64">
        <f>_xlfn.XLOOKUP(census_data[[#This Row],[Community Area]],'[1]Neighborhood Codes'!$B:$B,'[1]Neighborhood Codes'!$A:$A,"N/a")</f>
        <v>46</v>
      </c>
      <c r="C64" t="s">
        <v>154</v>
      </c>
      <c r="D64" s="2">
        <v>1499</v>
      </c>
      <c r="E64" s="2">
        <v>1522</v>
      </c>
      <c r="F64">
        <v>968</v>
      </c>
      <c r="G64" s="2">
        <v>1295</v>
      </c>
      <c r="H64" s="2">
        <v>1055</v>
      </c>
      <c r="I64" s="2">
        <v>3841</v>
      </c>
      <c r="J64" s="2">
        <v>1196</v>
      </c>
      <c r="K64" s="2">
        <v>1727</v>
      </c>
      <c r="L64" s="2">
        <v>2485</v>
      </c>
      <c r="M64" s="2">
        <v>2543</v>
      </c>
      <c r="N64" s="2">
        <v>1661</v>
      </c>
      <c r="O64" s="2">
        <v>3850</v>
      </c>
      <c r="P64" s="2">
        <v>1407</v>
      </c>
      <c r="Q64" s="2">
        <v>2431</v>
      </c>
      <c r="R64" s="2">
        <v>2537</v>
      </c>
      <c r="S64" s="2">
        <v>2636</v>
      </c>
      <c r="T64" s="2">
        <v>2759</v>
      </c>
      <c r="U64" s="2">
        <v>29072</v>
      </c>
      <c r="V64" s="2">
        <v>2813</v>
      </c>
      <c r="W64" s="2">
        <v>21948</v>
      </c>
      <c r="X64">
        <v>123</v>
      </c>
      <c r="Y64">
        <v>125</v>
      </c>
      <c r="Z64">
        <v>0</v>
      </c>
      <c r="AA64" s="2">
        <v>2986</v>
      </c>
      <c r="AB64" s="2">
        <v>1077</v>
      </c>
      <c r="AC64">
        <v>947</v>
      </c>
      <c r="AD64" s="2">
        <v>5604</v>
      </c>
      <c r="AE64" t="s">
        <v>155</v>
      </c>
    </row>
    <row r="65" spans="1:31" x14ac:dyDescent="0.25">
      <c r="A65">
        <v>2023</v>
      </c>
      <c r="B65">
        <f>_xlfn.XLOOKUP(census_data[[#This Row],[Community Area]],'[1]Neighborhood Codes'!$B:$B,'[1]Neighborhood Codes'!$A:$A,"N/a")</f>
        <v>51</v>
      </c>
      <c r="C65" t="s">
        <v>156</v>
      </c>
      <c r="D65">
        <v>912</v>
      </c>
      <c r="E65">
        <v>838</v>
      </c>
      <c r="F65">
        <v>464</v>
      </c>
      <c r="G65">
        <v>562</v>
      </c>
      <c r="H65">
        <v>564</v>
      </c>
      <c r="I65" s="2">
        <v>1458</v>
      </c>
      <c r="J65">
        <v>496</v>
      </c>
      <c r="K65" s="2">
        <v>1289</v>
      </c>
      <c r="L65">
        <v>751</v>
      </c>
      <c r="M65" s="2">
        <v>1288</v>
      </c>
      <c r="N65" s="2">
        <v>1262</v>
      </c>
      <c r="O65" s="2">
        <v>1885</v>
      </c>
      <c r="P65" s="2">
        <v>1065</v>
      </c>
      <c r="Q65">
        <v>771</v>
      </c>
      <c r="R65" s="2">
        <v>1855</v>
      </c>
      <c r="S65" s="2">
        <v>1618</v>
      </c>
      <c r="T65" s="2">
        <v>1363</v>
      </c>
      <c r="U65" s="2">
        <v>15100</v>
      </c>
      <c r="V65" s="2">
        <v>3107</v>
      </c>
      <c r="W65" s="2">
        <v>9719</v>
      </c>
      <c r="X65">
        <v>144</v>
      </c>
      <c r="Y65">
        <v>1</v>
      </c>
      <c r="Z65">
        <v>20</v>
      </c>
      <c r="AA65" s="2">
        <v>1407</v>
      </c>
      <c r="AB65">
        <v>702</v>
      </c>
      <c r="AC65">
        <v>682</v>
      </c>
      <c r="AD65" s="2">
        <v>4707</v>
      </c>
      <c r="AE65" t="s">
        <v>157</v>
      </c>
    </row>
    <row r="66" spans="1:31" x14ac:dyDescent="0.25">
      <c r="A66">
        <v>2023</v>
      </c>
      <c r="B66">
        <f>_xlfn.XLOOKUP(census_data[[#This Row],[Community Area]],'[1]Neighborhood Codes'!$B:$B,'[1]Neighborhood Codes'!$A:$A,"N/a")</f>
        <v>30</v>
      </c>
      <c r="C66" t="s">
        <v>158</v>
      </c>
      <c r="D66" s="2">
        <v>2608</v>
      </c>
      <c r="E66" s="2">
        <v>4557</v>
      </c>
      <c r="F66" s="2">
        <v>2307</v>
      </c>
      <c r="G66" s="2">
        <v>2417</v>
      </c>
      <c r="H66" s="2">
        <v>1622</v>
      </c>
      <c r="I66" s="2">
        <v>7620</v>
      </c>
      <c r="J66" s="2">
        <v>5006</v>
      </c>
      <c r="K66" s="2">
        <v>8260</v>
      </c>
      <c r="L66" s="2">
        <v>8288</v>
      </c>
      <c r="M66" s="2">
        <v>5155</v>
      </c>
      <c r="N66" s="2">
        <v>5044</v>
      </c>
      <c r="O66" s="2">
        <v>7244</v>
      </c>
      <c r="P66" s="2">
        <v>3896</v>
      </c>
      <c r="Q66" s="2">
        <v>4037</v>
      </c>
      <c r="R66" s="2">
        <v>5721</v>
      </c>
      <c r="S66" s="2">
        <v>4979</v>
      </c>
      <c r="T66" s="2">
        <v>4303</v>
      </c>
      <c r="U66" s="2">
        <v>69554</v>
      </c>
      <c r="V66" s="2">
        <v>22010</v>
      </c>
      <c r="W66" s="2">
        <v>8371</v>
      </c>
      <c r="X66" s="2">
        <v>1044</v>
      </c>
      <c r="Y66">
        <v>606</v>
      </c>
      <c r="Z66">
        <v>32</v>
      </c>
      <c r="AA66" s="2">
        <v>23420</v>
      </c>
      <c r="AB66" s="2">
        <v>14070</v>
      </c>
      <c r="AC66" s="2">
        <v>3741</v>
      </c>
      <c r="AD66" s="2">
        <v>56992</v>
      </c>
      <c r="AE66" t="s">
        <v>159</v>
      </c>
    </row>
    <row r="67" spans="1:31" x14ac:dyDescent="0.25">
      <c r="A67">
        <v>2023</v>
      </c>
      <c r="B67">
        <f>_xlfn.XLOOKUP(census_data[[#This Row],[Community Area]],'[1]Neighborhood Codes'!$B:$B,'[1]Neighborhood Codes'!$A:$A,"N/a")</f>
        <v>43</v>
      </c>
      <c r="C67" t="s">
        <v>160</v>
      </c>
      <c r="D67" s="2">
        <v>2299</v>
      </c>
      <c r="E67" s="2">
        <v>2082</v>
      </c>
      <c r="F67" s="2">
        <v>1681</v>
      </c>
      <c r="G67" s="2">
        <v>1798</v>
      </c>
      <c r="H67" s="2">
        <v>1563</v>
      </c>
      <c r="I67" s="2">
        <v>5258</v>
      </c>
      <c r="J67" s="2">
        <v>1093</v>
      </c>
      <c r="K67" s="2">
        <v>3630</v>
      </c>
      <c r="L67" s="2">
        <v>3802</v>
      </c>
      <c r="M67" s="2">
        <v>3698</v>
      </c>
      <c r="N67" s="2">
        <v>2573</v>
      </c>
      <c r="O67" s="2">
        <v>5188</v>
      </c>
      <c r="P67" s="2">
        <v>1978</v>
      </c>
      <c r="Q67" s="2">
        <v>4501</v>
      </c>
      <c r="R67" s="2">
        <v>4959</v>
      </c>
      <c r="S67" s="2">
        <v>4833</v>
      </c>
      <c r="T67" s="2">
        <v>4763</v>
      </c>
      <c r="U67" s="2">
        <v>46276</v>
      </c>
      <c r="V67" s="2">
        <v>1588</v>
      </c>
      <c r="W67" s="2">
        <v>43339</v>
      </c>
      <c r="X67">
        <v>12</v>
      </c>
      <c r="Y67">
        <v>160</v>
      </c>
      <c r="Z67">
        <v>27</v>
      </c>
      <c r="AA67">
        <v>453</v>
      </c>
      <c r="AB67">
        <v>698</v>
      </c>
      <c r="AC67" s="2">
        <v>1066</v>
      </c>
      <c r="AD67" s="2">
        <v>1463</v>
      </c>
      <c r="AE67" t="s">
        <v>161</v>
      </c>
    </row>
    <row r="68" spans="1:31" x14ac:dyDescent="0.25">
      <c r="A68">
        <v>2023</v>
      </c>
      <c r="B68">
        <f>_xlfn.XLOOKUP(census_data[[#This Row],[Community Area]],'[1]Neighborhood Codes'!$B:$B,'[1]Neighborhood Codes'!$A:$A,"N/a")</f>
        <v>3</v>
      </c>
      <c r="C68" t="s">
        <v>162</v>
      </c>
      <c r="D68" s="2">
        <v>1379</v>
      </c>
      <c r="E68" s="2">
        <v>1189</v>
      </c>
      <c r="F68">
        <v>971</v>
      </c>
      <c r="G68" s="2">
        <v>1500</v>
      </c>
      <c r="H68" s="2">
        <v>4119</v>
      </c>
      <c r="I68" s="2">
        <v>3019</v>
      </c>
      <c r="J68" s="2">
        <v>1977</v>
      </c>
      <c r="K68" s="2">
        <v>7815</v>
      </c>
      <c r="L68" s="2">
        <v>7131</v>
      </c>
      <c r="M68" s="2">
        <v>5255</v>
      </c>
      <c r="N68" s="2">
        <v>2224</v>
      </c>
      <c r="O68" s="2">
        <v>3343</v>
      </c>
      <c r="P68" s="2">
        <v>2325</v>
      </c>
      <c r="Q68" s="2">
        <v>6650</v>
      </c>
      <c r="R68" s="2">
        <v>5389</v>
      </c>
      <c r="S68" s="2">
        <v>4240</v>
      </c>
      <c r="T68" s="2">
        <v>3306</v>
      </c>
      <c r="U68" s="2">
        <v>52674</v>
      </c>
      <c r="V68" s="2">
        <v>30635</v>
      </c>
      <c r="W68" s="2">
        <v>10848</v>
      </c>
      <c r="X68">
        <v>238</v>
      </c>
      <c r="Y68" s="2">
        <v>5033</v>
      </c>
      <c r="Z68">
        <v>17</v>
      </c>
      <c r="AA68" s="2">
        <v>2275</v>
      </c>
      <c r="AB68" s="2">
        <v>3626</v>
      </c>
      <c r="AC68" s="2">
        <v>27437</v>
      </c>
      <c r="AD68" s="2">
        <v>7558</v>
      </c>
      <c r="AE68" t="s">
        <v>163</v>
      </c>
    </row>
    <row r="69" spans="1:31" x14ac:dyDescent="0.25">
      <c r="A69">
        <v>2023</v>
      </c>
      <c r="B69">
        <f>_xlfn.XLOOKUP(census_data[[#This Row],[Community Area]],'[1]Neighborhood Codes'!$B:$B,'[1]Neighborhood Codes'!$A:$A,"N/a")</f>
        <v>73</v>
      </c>
      <c r="C69" t="s">
        <v>164</v>
      </c>
      <c r="D69">
        <v>918</v>
      </c>
      <c r="E69">
        <v>905</v>
      </c>
      <c r="F69" s="2">
        <v>1179</v>
      </c>
      <c r="G69" s="2">
        <v>1804</v>
      </c>
      <c r="H69" s="2">
        <v>1609</v>
      </c>
      <c r="I69" s="2">
        <v>2449</v>
      </c>
      <c r="J69" s="2">
        <v>1417</v>
      </c>
      <c r="K69" s="2">
        <v>1534</v>
      </c>
      <c r="L69" s="2">
        <v>1841</v>
      </c>
      <c r="M69" s="2">
        <v>2476</v>
      </c>
      <c r="N69" s="2">
        <v>1588</v>
      </c>
      <c r="O69" s="2">
        <v>2903</v>
      </c>
      <c r="P69" s="2">
        <v>1366</v>
      </c>
      <c r="Q69" s="2">
        <v>1474</v>
      </c>
      <c r="R69" s="2">
        <v>2882</v>
      </c>
      <c r="S69" s="2">
        <v>2861</v>
      </c>
      <c r="T69" s="2">
        <v>3520</v>
      </c>
      <c r="U69" s="2">
        <v>26310</v>
      </c>
      <c r="V69">
        <v>488</v>
      </c>
      <c r="W69" s="2">
        <v>25401</v>
      </c>
      <c r="X69">
        <v>87</v>
      </c>
      <c r="Y69">
        <v>24</v>
      </c>
      <c r="Z69">
        <v>0</v>
      </c>
      <c r="AA69">
        <v>94</v>
      </c>
      <c r="AB69">
        <v>216</v>
      </c>
      <c r="AC69">
        <v>386</v>
      </c>
      <c r="AD69">
        <v>248</v>
      </c>
      <c r="AE69" t="s">
        <v>165</v>
      </c>
    </row>
    <row r="70" spans="1:31" x14ac:dyDescent="0.25">
      <c r="A70">
        <v>2023</v>
      </c>
      <c r="B70">
        <f>_xlfn.XLOOKUP(census_data[[#This Row],[Community Area]],'[1]Neighborhood Codes'!$B:$B,'[1]Neighborhood Codes'!$A:$A,"N/a")</f>
        <v>40</v>
      </c>
      <c r="C70" t="s">
        <v>166</v>
      </c>
      <c r="D70" s="2">
        <v>1142</v>
      </c>
      <c r="E70">
        <v>717</v>
      </c>
      <c r="F70">
        <v>274</v>
      </c>
      <c r="G70">
        <v>317</v>
      </c>
      <c r="H70">
        <v>267</v>
      </c>
      <c r="I70" s="2">
        <v>2178</v>
      </c>
      <c r="J70">
        <v>497</v>
      </c>
      <c r="K70">
        <v>673</v>
      </c>
      <c r="L70" s="2">
        <v>1005</v>
      </c>
      <c r="M70">
        <v>749</v>
      </c>
      <c r="N70">
        <v>465</v>
      </c>
      <c r="O70" s="2">
        <v>1647</v>
      </c>
      <c r="P70">
        <v>793</v>
      </c>
      <c r="Q70" s="2">
        <v>1189</v>
      </c>
      <c r="R70" s="2">
        <v>1602</v>
      </c>
      <c r="S70" s="2">
        <v>1001</v>
      </c>
      <c r="T70">
        <v>564</v>
      </c>
      <c r="U70" s="2">
        <v>12362</v>
      </c>
      <c r="V70">
        <v>242</v>
      </c>
      <c r="W70" s="2">
        <v>11691</v>
      </c>
      <c r="X70">
        <v>10</v>
      </c>
      <c r="Y70">
        <v>0</v>
      </c>
      <c r="Z70">
        <v>0</v>
      </c>
      <c r="AA70">
        <v>138</v>
      </c>
      <c r="AB70">
        <v>281</v>
      </c>
      <c r="AC70">
        <v>230</v>
      </c>
      <c r="AD70">
        <v>171</v>
      </c>
      <c r="AE70" t="s">
        <v>167</v>
      </c>
    </row>
    <row r="71" spans="1:31" x14ac:dyDescent="0.25">
      <c r="A71">
        <v>2023</v>
      </c>
      <c r="B71">
        <f>_xlfn.XLOOKUP(census_data[[#This Row],[Community Area]],'[1]Neighborhood Codes'!$B:$B,'[1]Neighborhood Codes'!$A:$A,"N/a")</f>
        <v>62</v>
      </c>
      <c r="C71" t="s">
        <v>168</v>
      </c>
      <c r="D71">
        <v>267</v>
      </c>
      <c r="E71">
        <v>921</v>
      </c>
      <c r="F71">
        <v>788</v>
      </c>
      <c r="G71">
        <v>979</v>
      </c>
      <c r="H71" s="2">
        <v>1030</v>
      </c>
      <c r="I71" s="2">
        <v>2228</v>
      </c>
      <c r="J71">
        <v>769</v>
      </c>
      <c r="K71" s="2">
        <v>1355</v>
      </c>
      <c r="L71" s="2">
        <v>1998</v>
      </c>
      <c r="M71" s="2">
        <v>1381</v>
      </c>
      <c r="N71" s="2">
        <v>1351</v>
      </c>
      <c r="O71" s="2">
        <v>2464</v>
      </c>
      <c r="P71">
        <v>933</v>
      </c>
      <c r="Q71" s="2">
        <v>1286</v>
      </c>
      <c r="R71" s="2">
        <v>1632</v>
      </c>
      <c r="S71" s="2">
        <v>1670</v>
      </c>
      <c r="T71" s="2">
        <v>1134</v>
      </c>
      <c r="U71" s="2">
        <v>18201</v>
      </c>
      <c r="V71" s="2">
        <v>7800</v>
      </c>
      <c r="W71">
        <v>128</v>
      </c>
      <c r="X71">
        <v>749</v>
      </c>
      <c r="Y71">
        <v>688</v>
      </c>
      <c r="Z71">
        <v>0</v>
      </c>
      <c r="AA71" s="2">
        <v>5056</v>
      </c>
      <c r="AB71" s="2">
        <v>3780</v>
      </c>
      <c r="AC71" s="2">
        <v>2606</v>
      </c>
      <c r="AD71" s="2">
        <v>14781</v>
      </c>
      <c r="AE71" t="s">
        <v>169</v>
      </c>
    </row>
    <row r="72" spans="1:31" x14ac:dyDescent="0.25">
      <c r="A72">
        <v>2023</v>
      </c>
      <c r="B72">
        <f>_xlfn.XLOOKUP(census_data[[#This Row],[Community Area]],'[1]Neighborhood Codes'!$B:$B,'[1]Neighborhood Codes'!$A:$A,"N/a")</f>
        <v>67</v>
      </c>
      <c r="C72" t="s">
        <v>170</v>
      </c>
      <c r="D72" s="2">
        <v>1547</v>
      </c>
      <c r="E72" s="2">
        <v>1804</v>
      </c>
      <c r="F72">
        <v>785</v>
      </c>
      <c r="G72">
        <v>932</v>
      </c>
      <c r="H72">
        <v>570</v>
      </c>
      <c r="I72" s="2">
        <v>3013</v>
      </c>
      <c r="J72" s="2">
        <v>1250</v>
      </c>
      <c r="K72" s="2">
        <v>1888</v>
      </c>
      <c r="L72" s="2">
        <v>1987</v>
      </c>
      <c r="M72" s="2">
        <v>2377</v>
      </c>
      <c r="N72" s="2">
        <v>2005</v>
      </c>
      <c r="O72" s="2">
        <v>2749</v>
      </c>
      <c r="P72" s="2">
        <v>1327</v>
      </c>
      <c r="Q72" s="2">
        <v>1839</v>
      </c>
      <c r="R72" s="2">
        <v>2055</v>
      </c>
      <c r="S72" s="2">
        <v>2493</v>
      </c>
      <c r="T72" s="2">
        <v>2988</v>
      </c>
      <c r="U72" s="2">
        <v>25971</v>
      </c>
      <c r="V72" s="2">
        <v>1353</v>
      </c>
      <c r="W72" s="2">
        <v>20537</v>
      </c>
      <c r="X72">
        <v>279</v>
      </c>
      <c r="Y72">
        <v>83</v>
      </c>
      <c r="Z72">
        <v>65</v>
      </c>
      <c r="AA72" s="2">
        <v>2435</v>
      </c>
      <c r="AB72" s="2">
        <v>1220</v>
      </c>
      <c r="AC72">
        <v>262</v>
      </c>
      <c r="AD72" s="2">
        <v>4674</v>
      </c>
      <c r="AE72" t="s">
        <v>171</v>
      </c>
    </row>
    <row r="73" spans="1:31" x14ac:dyDescent="0.25">
      <c r="A73">
        <v>2023</v>
      </c>
      <c r="B73">
        <f>_xlfn.XLOOKUP(census_data[[#This Row],[Community Area]],'[1]Neighborhood Codes'!$B:$B,'[1]Neighborhood Codes'!$A:$A,"N/a")</f>
        <v>26</v>
      </c>
      <c r="C73" t="s">
        <v>172</v>
      </c>
      <c r="D73" s="2">
        <v>1048</v>
      </c>
      <c r="E73">
        <v>975</v>
      </c>
      <c r="F73">
        <v>655</v>
      </c>
      <c r="G73">
        <v>432</v>
      </c>
      <c r="H73">
        <v>346</v>
      </c>
      <c r="I73" s="2">
        <v>2343</v>
      </c>
      <c r="J73">
        <v>828</v>
      </c>
      <c r="K73" s="2">
        <v>1223</v>
      </c>
      <c r="L73" s="2">
        <v>1424</v>
      </c>
      <c r="M73" s="2">
        <v>1713</v>
      </c>
      <c r="N73">
        <v>853</v>
      </c>
      <c r="O73" s="2">
        <v>1548</v>
      </c>
      <c r="P73">
        <v>871</v>
      </c>
      <c r="Q73" s="2">
        <v>1263</v>
      </c>
      <c r="R73" s="2">
        <v>1247</v>
      </c>
      <c r="S73" s="2">
        <v>1684</v>
      </c>
      <c r="T73" s="2">
        <v>1347</v>
      </c>
      <c r="U73" s="2">
        <v>16345</v>
      </c>
      <c r="V73">
        <v>501</v>
      </c>
      <c r="W73" s="2">
        <v>15047</v>
      </c>
      <c r="X73">
        <v>1</v>
      </c>
      <c r="Y73">
        <v>12</v>
      </c>
      <c r="Z73">
        <v>0</v>
      </c>
      <c r="AA73">
        <v>641</v>
      </c>
      <c r="AB73">
        <v>144</v>
      </c>
      <c r="AC73">
        <v>347</v>
      </c>
      <c r="AD73">
        <v>878</v>
      </c>
      <c r="AE73" t="s">
        <v>173</v>
      </c>
    </row>
    <row r="74" spans="1:31" x14ac:dyDescent="0.25">
      <c r="A74">
        <v>2023</v>
      </c>
      <c r="B74">
        <f>_xlfn.XLOOKUP(census_data[[#This Row],[Community Area]],'[1]Neighborhood Codes'!$B:$B,'[1]Neighborhood Codes'!$A:$A,"N/a")</f>
        <v>65</v>
      </c>
      <c r="C74" t="s">
        <v>174</v>
      </c>
      <c r="D74">
        <v>766</v>
      </c>
      <c r="E74" s="2">
        <v>1224</v>
      </c>
      <c r="F74" s="2">
        <v>1296</v>
      </c>
      <c r="G74" s="2">
        <v>1909</v>
      </c>
      <c r="H74" s="2">
        <v>1777</v>
      </c>
      <c r="I74" s="2">
        <v>4673</v>
      </c>
      <c r="J74" s="2">
        <v>1865</v>
      </c>
      <c r="K74" s="2">
        <v>2004</v>
      </c>
      <c r="L74" s="2">
        <v>3594</v>
      </c>
      <c r="M74" s="2">
        <v>2563</v>
      </c>
      <c r="N74" s="2">
        <v>1453</v>
      </c>
      <c r="O74" s="2">
        <v>4162</v>
      </c>
      <c r="P74" s="2">
        <v>1665</v>
      </c>
      <c r="Q74" s="2">
        <v>2247</v>
      </c>
      <c r="R74" s="2">
        <v>3283</v>
      </c>
      <c r="S74" s="2">
        <v>2507</v>
      </c>
      <c r="T74" s="2">
        <v>2435</v>
      </c>
      <c r="U74" s="2">
        <v>32451</v>
      </c>
      <c r="V74" s="2">
        <v>13717</v>
      </c>
      <c r="W74">
        <v>929</v>
      </c>
      <c r="X74">
        <v>585</v>
      </c>
      <c r="Y74">
        <v>255</v>
      </c>
      <c r="Z74">
        <v>171</v>
      </c>
      <c r="AA74" s="2">
        <v>10645</v>
      </c>
      <c r="AB74" s="2">
        <v>6149</v>
      </c>
      <c r="AC74" s="2">
        <v>3980</v>
      </c>
      <c r="AD74" s="2">
        <v>27275</v>
      </c>
      <c r="AE74" t="s">
        <v>175</v>
      </c>
    </row>
    <row r="75" spans="1:31" x14ac:dyDescent="0.25">
      <c r="A75">
        <v>2023</v>
      </c>
      <c r="B75">
        <f>_xlfn.XLOOKUP(census_data[[#This Row],[Community Area]],'[1]Neighborhood Codes'!$B:$B,'[1]Neighborhood Codes'!$A:$A,"N/a")</f>
        <v>53</v>
      </c>
      <c r="C75" t="s">
        <v>176</v>
      </c>
      <c r="D75" s="2">
        <v>1380</v>
      </c>
      <c r="E75" s="2">
        <v>1196</v>
      </c>
      <c r="F75">
        <v>850</v>
      </c>
      <c r="G75" s="2">
        <v>1273</v>
      </c>
      <c r="H75" s="2">
        <v>1158</v>
      </c>
      <c r="I75" s="2">
        <v>3160</v>
      </c>
      <c r="J75" s="2">
        <v>1306</v>
      </c>
      <c r="K75" s="2">
        <v>1515</v>
      </c>
      <c r="L75" s="2">
        <v>1883</v>
      </c>
      <c r="M75" s="2">
        <v>2296</v>
      </c>
      <c r="N75" s="2">
        <v>1462</v>
      </c>
      <c r="O75" s="2">
        <v>2657</v>
      </c>
      <c r="P75" s="2">
        <v>1255</v>
      </c>
      <c r="Q75" s="2">
        <v>1558</v>
      </c>
      <c r="R75" s="2">
        <v>2957</v>
      </c>
      <c r="S75" s="2">
        <v>2373</v>
      </c>
      <c r="T75" s="2">
        <v>2739</v>
      </c>
      <c r="U75" s="2">
        <v>25159</v>
      </c>
      <c r="V75">
        <v>908</v>
      </c>
      <c r="W75" s="2">
        <v>22426</v>
      </c>
      <c r="X75">
        <v>0</v>
      </c>
      <c r="Y75">
        <v>0</v>
      </c>
      <c r="Z75">
        <v>0</v>
      </c>
      <c r="AA75">
        <v>790</v>
      </c>
      <c r="AB75" s="2">
        <v>1035</v>
      </c>
      <c r="AC75">
        <v>289</v>
      </c>
      <c r="AD75" s="2">
        <v>1856</v>
      </c>
      <c r="AE75" t="s">
        <v>177</v>
      </c>
    </row>
    <row r="76" spans="1:31" x14ac:dyDescent="0.25">
      <c r="A76">
        <v>2023</v>
      </c>
      <c r="B76">
        <f>_xlfn.XLOOKUP(census_data[[#This Row],[Community Area]],'[1]Neighborhood Codes'!$B:$B,'[1]Neighborhood Codes'!$A:$A,"N/a")</f>
        <v>2</v>
      </c>
      <c r="C76" t="s">
        <v>178</v>
      </c>
      <c r="D76" s="2">
        <v>2088</v>
      </c>
      <c r="E76" s="2">
        <v>3577</v>
      </c>
      <c r="F76" s="2">
        <v>3031</v>
      </c>
      <c r="G76" s="2">
        <v>4005</v>
      </c>
      <c r="H76" s="2">
        <v>5327</v>
      </c>
      <c r="I76" s="2">
        <v>10747</v>
      </c>
      <c r="J76" s="2">
        <v>3219</v>
      </c>
      <c r="K76" s="2">
        <v>5519</v>
      </c>
      <c r="L76" s="2">
        <v>8146</v>
      </c>
      <c r="M76" s="2">
        <v>7729</v>
      </c>
      <c r="N76" s="2">
        <v>4907</v>
      </c>
      <c r="O76" s="2">
        <v>10789</v>
      </c>
      <c r="P76" s="2">
        <v>2568</v>
      </c>
      <c r="Q76" s="2">
        <v>4807</v>
      </c>
      <c r="R76" s="2">
        <v>7905</v>
      </c>
      <c r="S76" s="2">
        <v>6939</v>
      </c>
      <c r="T76" s="2">
        <v>5945</v>
      </c>
      <c r="U76" s="2">
        <v>79220</v>
      </c>
      <c r="V76" s="2">
        <v>36943</v>
      </c>
      <c r="W76" s="2">
        <v>9310</v>
      </c>
      <c r="X76">
        <v>681</v>
      </c>
      <c r="Y76" s="2">
        <v>16696</v>
      </c>
      <c r="Z76">
        <v>17</v>
      </c>
      <c r="AA76" s="2">
        <v>6958</v>
      </c>
      <c r="AB76" s="2">
        <v>8615</v>
      </c>
      <c r="AC76" s="2">
        <v>31486</v>
      </c>
      <c r="AD76" s="2">
        <v>17531</v>
      </c>
      <c r="AE76" t="s">
        <v>179</v>
      </c>
    </row>
    <row r="77" spans="1:31" x14ac:dyDescent="0.25">
      <c r="A77">
        <v>2023</v>
      </c>
      <c r="B77">
        <f>_xlfn.XLOOKUP(census_data[[#This Row],[Community Area]],'[1]Neighborhood Codes'!$B:$B,'[1]Neighborhood Codes'!$A:$A,"N/a")</f>
        <v>24</v>
      </c>
      <c r="C77" t="s">
        <v>180</v>
      </c>
      <c r="D77" s="2">
        <v>1051</v>
      </c>
      <c r="E77" s="2">
        <v>1114</v>
      </c>
      <c r="F77" s="2">
        <v>1197</v>
      </c>
      <c r="G77" s="2">
        <v>2506</v>
      </c>
      <c r="H77" s="2">
        <v>10663</v>
      </c>
      <c r="I77" s="2">
        <v>5722</v>
      </c>
      <c r="J77" s="2">
        <v>2592</v>
      </c>
      <c r="K77" s="2">
        <v>16967</v>
      </c>
      <c r="L77" s="2">
        <v>11131</v>
      </c>
      <c r="M77" s="2">
        <v>4750</v>
      </c>
      <c r="N77" s="2">
        <v>2570</v>
      </c>
      <c r="O77" s="2">
        <v>5586</v>
      </c>
      <c r="P77" s="2">
        <v>3211</v>
      </c>
      <c r="Q77" s="2">
        <v>16764</v>
      </c>
      <c r="R77" s="2">
        <v>9695</v>
      </c>
      <c r="S77" s="2">
        <v>4375</v>
      </c>
      <c r="T77" s="2">
        <v>3089</v>
      </c>
      <c r="U77" s="2">
        <v>86453</v>
      </c>
      <c r="V77" s="2">
        <v>61759</v>
      </c>
      <c r="W77" s="2">
        <v>6039</v>
      </c>
      <c r="X77">
        <v>147</v>
      </c>
      <c r="Y77" s="2">
        <v>5138</v>
      </c>
      <c r="Z77">
        <v>21</v>
      </c>
      <c r="AA77" s="2">
        <v>4650</v>
      </c>
      <c r="AB77" s="2">
        <v>8700</v>
      </c>
      <c r="AC77" s="2">
        <v>54505</v>
      </c>
      <c r="AD77" s="2">
        <v>17099</v>
      </c>
      <c r="AE77" t="s">
        <v>181</v>
      </c>
    </row>
    <row r="78" spans="1:31" x14ac:dyDescent="0.25">
      <c r="A78">
        <v>2023</v>
      </c>
      <c r="B78">
        <f>_xlfn.XLOOKUP(census_data[[#This Row],[Community Area]],'[1]Neighborhood Codes'!$B:$B,'[1]Neighborhood Codes'!$A:$A,"N/a")</f>
        <v>42</v>
      </c>
      <c r="C78" t="s">
        <v>182</v>
      </c>
      <c r="D78" s="2">
        <v>1039</v>
      </c>
      <c r="E78" s="2">
        <v>1223</v>
      </c>
      <c r="F78">
        <v>622</v>
      </c>
      <c r="G78">
        <v>917</v>
      </c>
      <c r="H78">
        <v>807</v>
      </c>
      <c r="I78" s="2">
        <v>2564</v>
      </c>
      <c r="J78" s="2">
        <v>1958</v>
      </c>
      <c r="K78" s="2">
        <v>1809</v>
      </c>
      <c r="L78" s="2">
        <v>1861</v>
      </c>
      <c r="M78" s="2">
        <v>2246</v>
      </c>
      <c r="N78" s="2">
        <v>1019</v>
      </c>
      <c r="O78" s="2">
        <v>2410</v>
      </c>
      <c r="P78" s="2">
        <v>1801</v>
      </c>
      <c r="Q78" s="2">
        <v>1958</v>
      </c>
      <c r="R78" s="2">
        <v>2533</v>
      </c>
      <c r="S78" s="2">
        <v>2372</v>
      </c>
      <c r="T78" s="2">
        <v>1905</v>
      </c>
      <c r="U78" s="2">
        <v>24437</v>
      </c>
      <c r="V78" s="2">
        <v>2807</v>
      </c>
      <c r="W78" s="2">
        <v>18965</v>
      </c>
      <c r="X78">
        <v>50</v>
      </c>
      <c r="Y78">
        <v>867</v>
      </c>
      <c r="Z78">
        <v>0</v>
      </c>
      <c r="AA78">
        <v>863</v>
      </c>
      <c r="AB78">
        <v>886</v>
      </c>
      <c r="AC78" s="2">
        <v>2438</v>
      </c>
      <c r="AD78">
        <v>783</v>
      </c>
      <c r="AE78" t="s">
        <v>183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Census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Zhu</dc:creator>
  <cp:lastModifiedBy>Rachel Zhu</cp:lastModifiedBy>
  <dcterms:created xsi:type="dcterms:W3CDTF">2026-08-30T06:28:51Z</dcterms:created>
  <dcterms:modified xsi:type="dcterms:W3CDTF">2026-08-30T16:45:33Z</dcterms:modified>
</cp:coreProperties>
</file>